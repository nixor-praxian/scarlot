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comments6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de/Library/CloudStorage/Dropbox-Khodara/Philippe Khodara/05. PROJECTS : WORK/00_Scarlot/"/>
    </mc:Choice>
  </mc:AlternateContent>
  <xr:revisionPtr revIDLastSave="0" documentId="13_ncr:1_{79FF3FFD-9BC7-D049-8EB1-2016D8F77AA7}" xr6:coauthVersionLast="47" xr6:coauthVersionMax="47" xr10:uidLastSave="{00000000-0000-0000-0000-000000000000}"/>
  <bookViews>
    <workbookView xWindow="17280" yWindow="760" windowWidth="17280" windowHeight="21580" activeTab="1" xr2:uid="{B29542C5-DEDB-C147-9915-8C87C1D99F83}"/>
  </bookViews>
  <sheets>
    <sheet name="Start Here" sheetId="10" r:id="rId1"/>
    <sheet name="Assumptions" sheetId="2" r:id="rId2"/>
    <sheet name="Revenue" sheetId="3" r:id="rId3"/>
    <sheet name="Costs" sheetId="4" r:id="rId4"/>
    <sheet name="Unit Economics" sheetId="5" r:id="rId5"/>
    <sheet name="P&amp;L" sheetId="6" r:id="rId6"/>
    <sheet name="Cash Flow" sheetId="7" r:id="rId7"/>
    <sheet name="Scenarios" sheetId="8" r:id="rId8"/>
    <sheet name="Pricing" sheetId="9" r:id="rId9"/>
  </sheets>
  <definedNames>
    <definedName name="_xlnm.Print_Area" localSheetId="0">'Start Here'!$B$1:$H$60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3" l="1"/>
  <c r="D7" i="3"/>
  <c r="C7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AL56" i="4"/>
  <c r="AL29" i="6" s="1"/>
  <c r="AK56" i="4"/>
  <c r="AK29" i="6" s="1"/>
  <c r="AJ56" i="4"/>
  <c r="AJ29" i="6" s="1"/>
  <c r="AI56" i="4"/>
  <c r="AI29" i="6" s="1"/>
  <c r="AH56" i="4"/>
  <c r="AH29" i="6" s="1"/>
  <c r="AG56" i="4"/>
  <c r="AG29" i="6" s="1"/>
  <c r="AF56" i="4"/>
  <c r="AF29" i="6" s="1"/>
  <c r="AE56" i="4"/>
  <c r="AE29" i="6" s="1"/>
  <c r="AD56" i="4"/>
  <c r="AD29" i="6" s="1"/>
  <c r="AC56" i="4"/>
  <c r="AC29" i="6" s="1"/>
  <c r="AB56" i="4"/>
  <c r="AB29" i="6" s="1"/>
  <c r="AA56" i="4"/>
  <c r="AA29" i="6" s="1"/>
  <c r="Z56" i="4"/>
  <c r="Z29" i="6" s="1"/>
  <c r="Y56" i="4"/>
  <c r="Y29" i="6" s="1"/>
  <c r="X56" i="4"/>
  <c r="X29" i="6" s="1"/>
  <c r="W56" i="4"/>
  <c r="W29" i="6" s="1"/>
  <c r="V56" i="4"/>
  <c r="V29" i="6" s="1"/>
  <c r="U56" i="4"/>
  <c r="U29" i="6" s="1"/>
  <c r="T56" i="4"/>
  <c r="T29" i="6" s="1"/>
  <c r="S56" i="4"/>
  <c r="S29" i="6" s="1"/>
  <c r="R56" i="4"/>
  <c r="R29" i="6" s="1"/>
  <c r="Q56" i="4"/>
  <c r="Q29" i="6" s="1"/>
  <c r="P56" i="4"/>
  <c r="P29" i="6" s="1"/>
  <c r="O56" i="4"/>
  <c r="O29" i="6" s="1"/>
  <c r="N56" i="4"/>
  <c r="N29" i="6" s="1"/>
  <c r="M56" i="4"/>
  <c r="M29" i="6" s="1"/>
  <c r="L56" i="4"/>
  <c r="L29" i="6" s="1"/>
  <c r="K56" i="4"/>
  <c r="K29" i="6" s="1"/>
  <c r="J56" i="4"/>
  <c r="J29" i="6" s="1"/>
  <c r="I56" i="4"/>
  <c r="I29" i="6" s="1"/>
  <c r="H56" i="4"/>
  <c r="H29" i="6" s="1"/>
  <c r="G56" i="4"/>
  <c r="G29" i="6" s="1"/>
  <c r="F56" i="4"/>
  <c r="F29" i="6" s="1"/>
  <c r="E56" i="4"/>
  <c r="E29" i="6" s="1"/>
  <c r="D56" i="4"/>
  <c r="D29" i="6" s="1"/>
  <c r="C56" i="4"/>
  <c r="C29" i="6" s="1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9" i="4"/>
  <c r="D48" i="4"/>
  <c r="D47" i="4"/>
  <c r="C49" i="4"/>
  <c r="C48" i="4"/>
  <c r="C47" i="4"/>
  <c r="D4" i="8"/>
  <c r="C4" i="8"/>
  <c r="B4" i="8"/>
  <c r="D3" i="8"/>
  <c r="C3" i="8"/>
  <c r="B3" i="8"/>
  <c r="D57" i="4"/>
  <c r="D30" i="6" s="1"/>
  <c r="E57" i="4"/>
  <c r="E30" i="6" s="1"/>
  <c r="F57" i="4"/>
  <c r="F30" i="6" s="1"/>
  <c r="G57" i="4"/>
  <c r="G30" i="6" s="1"/>
  <c r="H57" i="4"/>
  <c r="H30" i="6" s="1"/>
  <c r="I57" i="4"/>
  <c r="I30" i="6" s="1"/>
  <c r="J57" i="4"/>
  <c r="J30" i="6" s="1"/>
  <c r="K57" i="4"/>
  <c r="K30" i="6" s="1"/>
  <c r="L57" i="4"/>
  <c r="L30" i="6" s="1"/>
  <c r="M57" i="4"/>
  <c r="M30" i="6" s="1"/>
  <c r="N57" i="4"/>
  <c r="N30" i="6" s="1"/>
  <c r="O57" i="4"/>
  <c r="O30" i="6" s="1"/>
  <c r="P57" i="4"/>
  <c r="P30" i="6" s="1"/>
  <c r="Q57" i="4"/>
  <c r="Q30" i="6" s="1"/>
  <c r="R57" i="4"/>
  <c r="R30" i="6" s="1"/>
  <c r="S57" i="4"/>
  <c r="S30" i="6" s="1"/>
  <c r="T57" i="4"/>
  <c r="T30" i="6" s="1"/>
  <c r="U57" i="4"/>
  <c r="U30" i="6" s="1"/>
  <c r="V57" i="4"/>
  <c r="V30" i="6" s="1"/>
  <c r="W57" i="4"/>
  <c r="W30" i="6" s="1"/>
  <c r="X57" i="4"/>
  <c r="X30" i="6" s="1"/>
  <c r="Y57" i="4"/>
  <c r="Y30" i="6" s="1"/>
  <c r="Z57" i="4"/>
  <c r="Z30" i="6" s="1"/>
  <c r="AA57" i="4"/>
  <c r="AA30" i="6" s="1"/>
  <c r="AB57" i="4"/>
  <c r="AB30" i="6" s="1"/>
  <c r="AC57" i="4"/>
  <c r="AC30" i="6" s="1"/>
  <c r="AD57" i="4"/>
  <c r="AD30" i="6" s="1"/>
  <c r="AE57" i="4"/>
  <c r="AE30" i="6" s="1"/>
  <c r="AF57" i="4"/>
  <c r="AF30" i="6" s="1"/>
  <c r="AG57" i="4"/>
  <c r="AG30" i="6" s="1"/>
  <c r="AH57" i="4"/>
  <c r="AH30" i="6" s="1"/>
  <c r="AI57" i="4"/>
  <c r="AI30" i="6" s="1"/>
  <c r="AJ57" i="4"/>
  <c r="AJ30" i="6" s="1"/>
  <c r="AK57" i="4"/>
  <c r="AK30" i="6" s="1"/>
  <c r="AL57" i="4"/>
  <c r="AL30" i="6" s="1"/>
  <c r="C57" i="4"/>
  <c r="C30" i="6" s="1"/>
  <c r="D55" i="4"/>
  <c r="D28" i="6" s="1"/>
  <c r="E55" i="4"/>
  <c r="E28" i="6" s="1"/>
  <c r="F55" i="4"/>
  <c r="F28" i="6" s="1"/>
  <c r="G55" i="4"/>
  <c r="G28" i="6" s="1"/>
  <c r="H55" i="4"/>
  <c r="H28" i="6" s="1"/>
  <c r="I55" i="4"/>
  <c r="I28" i="6" s="1"/>
  <c r="J55" i="4"/>
  <c r="J28" i="6" s="1"/>
  <c r="K55" i="4"/>
  <c r="K28" i="6" s="1"/>
  <c r="L55" i="4"/>
  <c r="L28" i="6" s="1"/>
  <c r="M55" i="4"/>
  <c r="M28" i="6" s="1"/>
  <c r="N55" i="4"/>
  <c r="N28" i="6" s="1"/>
  <c r="O55" i="4"/>
  <c r="O28" i="6" s="1"/>
  <c r="P55" i="4"/>
  <c r="P28" i="6" s="1"/>
  <c r="Q55" i="4"/>
  <c r="Q28" i="6" s="1"/>
  <c r="R55" i="4"/>
  <c r="R28" i="6" s="1"/>
  <c r="S55" i="4"/>
  <c r="S28" i="6" s="1"/>
  <c r="T55" i="4"/>
  <c r="T28" i="6" s="1"/>
  <c r="U55" i="4"/>
  <c r="U28" i="6" s="1"/>
  <c r="V55" i="4"/>
  <c r="V28" i="6" s="1"/>
  <c r="W55" i="4"/>
  <c r="W28" i="6" s="1"/>
  <c r="X55" i="4"/>
  <c r="X28" i="6" s="1"/>
  <c r="Y55" i="4"/>
  <c r="Y28" i="6" s="1"/>
  <c r="Z55" i="4"/>
  <c r="Z28" i="6" s="1"/>
  <c r="AA55" i="4"/>
  <c r="AA28" i="6" s="1"/>
  <c r="AB55" i="4"/>
  <c r="AB28" i="6" s="1"/>
  <c r="AC55" i="4"/>
  <c r="AC28" i="6" s="1"/>
  <c r="AD55" i="4"/>
  <c r="AD28" i="6" s="1"/>
  <c r="AE55" i="4"/>
  <c r="AE28" i="6" s="1"/>
  <c r="AF55" i="4"/>
  <c r="AF28" i="6" s="1"/>
  <c r="AG55" i="4"/>
  <c r="AG28" i="6" s="1"/>
  <c r="AH55" i="4"/>
  <c r="AH28" i="6" s="1"/>
  <c r="AI55" i="4"/>
  <c r="AI28" i="6" s="1"/>
  <c r="AJ55" i="4"/>
  <c r="AJ28" i="6" s="1"/>
  <c r="AK55" i="4"/>
  <c r="AK28" i="6" s="1"/>
  <c r="AL55" i="4"/>
  <c r="AL28" i="6" s="1"/>
  <c r="C55" i="4"/>
  <c r="C28" i="6" s="1"/>
  <c r="D54" i="4"/>
  <c r="D27" i="6" s="1"/>
  <c r="E54" i="4"/>
  <c r="E27" i="6" s="1"/>
  <c r="F54" i="4"/>
  <c r="F27" i="6" s="1"/>
  <c r="G54" i="4"/>
  <c r="G27" i="6" s="1"/>
  <c r="H54" i="4"/>
  <c r="H27" i="6" s="1"/>
  <c r="I54" i="4"/>
  <c r="I27" i="6" s="1"/>
  <c r="J54" i="4"/>
  <c r="J27" i="6" s="1"/>
  <c r="K54" i="4"/>
  <c r="K27" i="6" s="1"/>
  <c r="L54" i="4"/>
  <c r="L27" i="6" s="1"/>
  <c r="M54" i="4"/>
  <c r="M27" i="6" s="1"/>
  <c r="N54" i="4"/>
  <c r="N27" i="6" s="1"/>
  <c r="O54" i="4"/>
  <c r="O27" i="6" s="1"/>
  <c r="P54" i="4"/>
  <c r="P27" i="6" s="1"/>
  <c r="Q54" i="4"/>
  <c r="Q27" i="6" s="1"/>
  <c r="R54" i="4"/>
  <c r="R27" i="6" s="1"/>
  <c r="S54" i="4"/>
  <c r="S27" i="6" s="1"/>
  <c r="T54" i="4"/>
  <c r="T27" i="6" s="1"/>
  <c r="U54" i="4"/>
  <c r="U27" i="6" s="1"/>
  <c r="V54" i="4"/>
  <c r="V27" i="6" s="1"/>
  <c r="W54" i="4"/>
  <c r="W27" i="6" s="1"/>
  <c r="X54" i="4"/>
  <c r="X27" i="6" s="1"/>
  <c r="Y54" i="4"/>
  <c r="Y27" i="6" s="1"/>
  <c r="Z54" i="4"/>
  <c r="Z27" i="6" s="1"/>
  <c r="AA54" i="4"/>
  <c r="AA27" i="6" s="1"/>
  <c r="AB54" i="4"/>
  <c r="AB27" i="6" s="1"/>
  <c r="AC54" i="4"/>
  <c r="AC27" i="6" s="1"/>
  <c r="AD54" i="4"/>
  <c r="AD27" i="6" s="1"/>
  <c r="AE54" i="4"/>
  <c r="AE27" i="6" s="1"/>
  <c r="AF54" i="4"/>
  <c r="AF27" i="6" s="1"/>
  <c r="AG54" i="4"/>
  <c r="AG27" i="6" s="1"/>
  <c r="AH54" i="4"/>
  <c r="AH27" i="6" s="1"/>
  <c r="AI54" i="4"/>
  <c r="AI27" i="6" s="1"/>
  <c r="AJ54" i="4"/>
  <c r="AJ27" i="6" s="1"/>
  <c r="AK54" i="4"/>
  <c r="AK27" i="6" s="1"/>
  <c r="AL54" i="4"/>
  <c r="AL27" i="6" s="1"/>
  <c r="C54" i="4"/>
  <c r="C27" i="6" s="1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I53" i="4"/>
  <c r="AJ53" i="4"/>
  <c r="AK53" i="4"/>
  <c r="AK58" i="4" s="1"/>
  <c r="AL53" i="4"/>
  <c r="AL58" i="4" s="1"/>
  <c r="C53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AJ46" i="4"/>
  <c r="AK46" i="4"/>
  <c r="AL46" i="4"/>
  <c r="C46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AK45" i="4"/>
  <c r="AL45" i="4"/>
  <c r="C45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AJ44" i="4"/>
  <c r="AK44" i="4"/>
  <c r="AL44" i="4"/>
  <c r="C44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AJ43" i="4"/>
  <c r="AK43" i="4"/>
  <c r="AL43" i="4"/>
  <c r="C43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AI42" i="4"/>
  <c r="AJ42" i="4"/>
  <c r="AK42" i="4"/>
  <c r="AL42" i="4"/>
  <c r="C42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AI41" i="4"/>
  <c r="AJ41" i="4"/>
  <c r="AK41" i="4"/>
  <c r="AL41" i="4"/>
  <c r="C41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AK40" i="4"/>
  <c r="AL40" i="4"/>
  <c r="C40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C39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C38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C37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C36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C31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C30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C29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R15" i="5" s="1"/>
  <c r="S28" i="4"/>
  <c r="S15" i="5" s="1"/>
  <c r="T28" i="4"/>
  <c r="T15" i="5" s="1"/>
  <c r="U28" i="4"/>
  <c r="U15" i="5" s="1"/>
  <c r="V28" i="4"/>
  <c r="V15" i="5" s="1"/>
  <c r="W28" i="4"/>
  <c r="W15" i="5" s="1"/>
  <c r="X28" i="4"/>
  <c r="X15" i="5" s="1"/>
  <c r="Y28" i="4"/>
  <c r="Y15" i="5" s="1"/>
  <c r="Z28" i="4"/>
  <c r="AA28" i="4"/>
  <c r="AA15" i="5" s="1"/>
  <c r="AB28" i="4"/>
  <c r="AB15" i="5" s="1"/>
  <c r="AC28" i="4"/>
  <c r="AC15" i="5" s="1"/>
  <c r="AD28" i="4"/>
  <c r="AD15" i="5" s="1"/>
  <c r="AE28" i="4"/>
  <c r="AE15" i="5" s="1"/>
  <c r="AF28" i="4"/>
  <c r="AF15" i="5" s="1"/>
  <c r="AG28" i="4"/>
  <c r="AG15" i="5" s="1"/>
  <c r="AH28" i="4"/>
  <c r="AH15" i="5" s="1"/>
  <c r="AI28" i="4"/>
  <c r="AI15" i="5" s="1"/>
  <c r="AJ28" i="4"/>
  <c r="AJ15" i="5" s="1"/>
  <c r="AK28" i="4"/>
  <c r="AK15" i="5" s="1"/>
  <c r="AL28" i="4"/>
  <c r="AL15" i="5" s="1"/>
  <c r="C28" i="4"/>
  <c r="C15" i="5" s="1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C13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C12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C11" i="4"/>
  <c r="D19" i="3"/>
  <c r="D21" i="5" s="1"/>
  <c r="E19" i="3"/>
  <c r="E21" i="5" s="1"/>
  <c r="F19" i="3"/>
  <c r="F21" i="5" s="1"/>
  <c r="G19" i="3"/>
  <c r="G21" i="5" s="1"/>
  <c r="H19" i="3"/>
  <c r="H21" i="5" s="1"/>
  <c r="I19" i="3"/>
  <c r="I21" i="5" s="1"/>
  <c r="J19" i="3"/>
  <c r="J21" i="5" s="1"/>
  <c r="K19" i="3"/>
  <c r="K21" i="5" s="1"/>
  <c r="L19" i="3"/>
  <c r="L21" i="5" s="1"/>
  <c r="M19" i="3"/>
  <c r="M21" i="5" s="1"/>
  <c r="N19" i="3"/>
  <c r="N21" i="5" s="1"/>
  <c r="O19" i="3"/>
  <c r="O21" i="5" s="1"/>
  <c r="P19" i="3"/>
  <c r="P21" i="5" s="1"/>
  <c r="Q19" i="3"/>
  <c r="Q21" i="5" s="1"/>
  <c r="R19" i="3"/>
  <c r="R21" i="5" s="1"/>
  <c r="S19" i="3"/>
  <c r="S21" i="5" s="1"/>
  <c r="T19" i="3"/>
  <c r="T21" i="5" s="1"/>
  <c r="U19" i="3"/>
  <c r="U21" i="5" s="1"/>
  <c r="V19" i="3"/>
  <c r="V21" i="5" s="1"/>
  <c r="W19" i="3"/>
  <c r="W21" i="5" s="1"/>
  <c r="X19" i="3"/>
  <c r="X21" i="5" s="1"/>
  <c r="Y19" i="3"/>
  <c r="Y21" i="5" s="1"/>
  <c r="Z19" i="3"/>
  <c r="Z21" i="5" s="1"/>
  <c r="AA19" i="3"/>
  <c r="AA21" i="5" s="1"/>
  <c r="AB19" i="3"/>
  <c r="AB21" i="5" s="1"/>
  <c r="AC19" i="3"/>
  <c r="AC21" i="5" s="1"/>
  <c r="AD19" i="3"/>
  <c r="AD21" i="5" s="1"/>
  <c r="AE19" i="3"/>
  <c r="AE21" i="5" s="1"/>
  <c r="AF19" i="3"/>
  <c r="AF21" i="5" s="1"/>
  <c r="AG19" i="3"/>
  <c r="AG21" i="5" s="1"/>
  <c r="AH19" i="3"/>
  <c r="AH21" i="5" s="1"/>
  <c r="AI19" i="3"/>
  <c r="AI21" i="5" s="1"/>
  <c r="AJ19" i="3"/>
  <c r="AJ21" i="5" s="1"/>
  <c r="AK19" i="3"/>
  <c r="AK21" i="5" s="1"/>
  <c r="AL19" i="3"/>
  <c r="AL21" i="5" s="1"/>
  <c r="C19" i="3"/>
  <c r="C21" i="5" s="1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C12" i="3" s="1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10" i="3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C33" i="2"/>
  <c r="B8" i="2"/>
  <c r="G21" i="6" l="1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D20" i="6"/>
  <c r="E20" i="6"/>
  <c r="F20" i="6"/>
  <c r="G20" i="6"/>
  <c r="H20" i="6"/>
  <c r="I20" i="6"/>
  <c r="J20" i="6"/>
  <c r="K20" i="6"/>
  <c r="L20" i="6"/>
  <c r="M20" i="6"/>
  <c r="E50" i="4"/>
  <c r="J50" i="4"/>
  <c r="D50" i="4"/>
  <c r="F50" i="4"/>
  <c r="G50" i="4"/>
  <c r="H50" i="4"/>
  <c r="I50" i="4"/>
  <c r="K50" i="4"/>
  <c r="L50" i="4"/>
  <c r="AI26" i="6"/>
  <c r="AI58" i="4"/>
  <c r="AJ26" i="6"/>
  <c r="AJ58" i="4"/>
  <c r="C58" i="4"/>
  <c r="C31" i="6" s="1"/>
  <c r="C22" i="6"/>
  <c r="Z15" i="5"/>
  <c r="D26" i="6"/>
  <c r="D58" i="4"/>
  <c r="D31" i="6" s="1"/>
  <c r="E26" i="6"/>
  <c r="E58" i="4"/>
  <c r="E31" i="6" s="1"/>
  <c r="F26" i="6"/>
  <c r="F58" i="4"/>
  <c r="F31" i="6" s="1"/>
  <c r="G26" i="6"/>
  <c r="G58" i="4"/>
  <c r="G31" i="6" s="1"/>
  <c r="H26" i="6"/>
  <c r="H58" i="4"/>
  <c r="H31" i="6" s="1"/>
  <c r="I26" i="6"/>
  <c r="I58" i="4"/>
  <c r="I31" i="6" s="1"/>
  <c r="J26" i="6"/>
  <c r="J58" i="4"/>
  <c r="J31" i="6" s="1"/>
  <c r="K26" i="6"/>
  <c r="K58" i="4"/>
  <c r="K31" i="6" s="1"/>
  <c r="L26" i="6"/>
  <c r="L58" i="4"/>
  <c r="L31" i="6" s="1"/>
  <c r="M26" i="6"/>
  <c r="M58" i="4"/>
  <c r="M31" i="6" s="1"/>
  <c r="N26" i="6"/>
  <c r="N58" i="4"/>
  <c r="N31" i="6" s="1"/>
  <c r="O26" i="6"/>
  <c r="O58" i="4"/>
  <c r="O31" i="6" s="1"/>
  <c r="P26" i="6"/>
  <c r="P58" i="4"/>
  <c r="P31" i="6" s="1"/>
  <c r="Q26" i="6"/>
  <c r="Q58" i="4"/>
  <c r="Q31" i="6" s="1"/>
  <c r="R26" i="6"/>
  <c r="R58" i="4"/>
  <c r="R31" i="6" s="1"/>
  <c r="S26" i="6"/>
  <c r="S58" i="4"/>
  <c r="S31" i="6" s="1"/>
  <c r="T26" i="6"/>
  <c r="T58" i="4"/>
  <c r="T31" i="6" s="1"/>
  <c r="U26" i="6"/>
  <c r="U58" i="4"/>
  <c r="U31" i="6" s="1"/>
  <c r="V26" i="6"/>
  <c r="V58" i="4"/>
  <c r="V31" i="6" s="1"/>
  <c r="W26" i="6"/>
  <c r="W58" i="4"/>
  <c r="W31" i="6" s="1"/>
  <c r="X26" i="6"/>
  <c r="X58" i="4"/>
  <c r="X31" i="6" s="1"/>
  <c r="Y26" i="6"/>
  <c r="Y58" i="4"/>
  <c r="Y31" i="6" s="1"/>
  <c r="Z26" i="6"/>
  <c r="Z58" i="4"/>
  <c r="Z31" i="6" s="1"/>
  <c r="AA26" i="6"/>
  <c r="AA58" i="4"/>
  <c r="AA31" i="6" s="1"/>
  <c r="AB26" i="6"/>
  <c r="AB58" i="4"/>
  <c r="AB31" i="6" s="1"/>
  <c r="AC26" i="6"/>
  <c r="AC58" i="4"/>
  <c r="AC31" i="6" s="1"/>
  <c r="AD26" i="6"/>
  <c r="AD58" i="4"/>
  <c r="AD31" i="6" s="1"/>
  <c r="AE26" i="6"/>
  <c r="AE58" i="4"/>
  <c r="AE31" i="6" s="1"/>
  <c r="AF26" i="6"/>
  <c r="AF58" i="4"/>
  <c r="AF31" i="6" s="1"/>
  <c r="AG26" i="6"/>
  <c r="AG58" i="4"/>
  <c r="AG31" i="6" s="1"/>
  <c r="AH26" i="6"/>
  <c r="AH58" i="4"/>
  <c r="AH31" i="6" s="1"/>
  <c r="M16" i="6"/>
  <c r="M50" i="4"/>
  <c r="N16" i="6"/>
  <c r="N50" i="4"/>
  <c r="O16" i="6"/>
  <c r="O50" i="4"/>
  <c r="P16" i="6"/>
  <c r="P50" i="4"/>
  <c r="Q16" i="6"/>
  <c r="Q50" i="4"/>
  <c r="R16" i="6"/>
  <c r="R50" i="4"/>
  <c r="S16" i="6"/>
  <c r="S50" i="4"/>
  <c r="T16" i="6"/>
  <c r="T50" i="4"/>
  <c r="U16" i="6"/>
  <c r="U50" i="4"/>
  <c r="V16" i="6"/>
  <c r="V50" i="4"/>
  <c r="W16" i="6"/>
  <c r="W50" i="4"/>
  <c r="X16" i="6"/>
  <c r="X50" i="4"/>
  <c r="Y16" i="6"/>
  <c r="Y50" i="4"/>
  <c r="Z16" i="6"/>
  <c r="Z50" i="4"/>
  <c r="AA16" i="6"/>
  <c r="AA50" i="4"/>
  <c r="AB16" i="6"/>
  <c r="AB50" i="4"/>
  <c r="AC16" i="6"/>
  <c r="AC50" i="4"/>
  <c r="AD16" i="6"/>
  <c r="AD50" i="4"/>
  <c r="AE16" i="6"/>
  <c r="AE50" i="4"/>
  <c r="AF16" i="6"/>
  <c r="AF50" i="4"/>
  <c r="AG16" i="6"/>
  <c r="AG50" i="4"/>
  <c r="AH16" i="6"/>
  <c r="AH50" i="4"/>
  <c r="AI16" i="6"/>
  <c r="AI50" i="4"/>
  <c r="AJ16" i="6"/>
  <c r="AJ50" i="4"/>
  <c r="AK16" i="6"/>
  <c r="AK50" i="4"/>
  <c r="AL16" i="6"/>
  <c r="AL50" i="4"/>
  <c r="C16" i="6"/>
  <c r="C50" i="4"/>
  <c r="F21" i="6"/>
  <c r="D21" i="6"/>
  <c r="E21" i="6"/>
  <c r="AE20" i="6"/>
  <c r="AF20" i="6"/>
  <c r="AG20" i="6"/>
  <c r="AH20" i="6"/>
  <c r="AI20" i="6"/>
  <c r="AJ20" i="6"/>
  <c r="AK20" i="6"/>
  <c r="AL20" i="6"/>
  <c r="C20" i="6"/>
  <c r="J17" i="6"/>
  <c r="K17" i="6"/>
  <c r="L17" i="6"/>
  <c r="AI31" i="6"/>
  <c r="AJ3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AL21" i="6"/>
  <c r="C21" i="6"/>
  <c r="Z32" i="4"/>
  <c r="AE32" i="4"/>
  <c r="AK32" i="4"/>
  <c r="AK33" i="4" s="1"/>
  <c r="AK34" i="4" s="1"/>
  <c r="AL32" i="4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B32" i="4"/>
  <c r="AB33" i="4" s="1"/>
  <c r="AB34" i="4" s="1"/>
  <c r="AI32" i="4"/>
  <c r="AI33" i="4" s="1"/>
  <c r="AI34" i="4" s="1"/>
  <c r="Y32" i="4"/>
  <c r="Y33" i="4" s="1"/>
  <c r="Y34" i="4" s="1"/>
  <c r="AD32" i="4"/>
  <c r="AJ32" i="4"/>
  <c r="AJ33" i="4" s="1"/>
  <c r="AJ34" i="4" s="1"/>
  <c r="D17" i="6"/>
  <c r="E17" i="6"/>
  <c r="F17" i="6"/>
  <c r="G17" i="6"/>
  <c r="H17" i="6"/>
  <c r="I17" i="6"/>
  <c r="AA32" i="4"/>
  <c r="AA33" i="4" s="1"/>
  <c r="AA34" i="4" s="1"/>
  <c r="AG32" i="4"/>
  <c r="C32" i="4"/>
  <c r="C33" i="4" s="1"/>
  <c r="C34" i="4" s="1"/>
  <c r="R32" i="4"/>
  <c r="S32" i="4"/>
  <c r="T32" i="4"/>
  <c r="U32" i="4"/>
  <c r="U33" i="4" s="1"/>
  <c r="U34" i="4" s="1"/>
  <c r="V32" i="4"/>
  <c r="W32" i="4"/>
  <c r="X32" i="4"/>
  <c r="AC32" i="4"/>
  <c r="AF32" i="4"/>
  <c r="AH32" i="4"/>
  <c r="AH33" i="4" s="1"/>
  <c r="AH34" i="4" s="1"/>
  <c r="E9" i="3"/>
  <c r="D9" i="3"/>
  <c r="C9" i="3"/>
  <c r="C13" i="3" s="1"/>
  <c r="C17" i="3" s="1"/>
  <c r="C23" i="3" s="1"/>
  <c r="AK31" i="6"/>
  <c r="AK26" i="6"/>
  <c r="AL31" i="6"/>
  <c r="AL26" i="6"/>
  <c r="C26" i="6"/>
  <c r="Q15" i="5"/>
  <c r="Q32" i="4"/>
  <c r="D19" i="6"/>
  <c r="D14" i="5"/>
  <c r="E19" i="6"/>
  <c r="E14" i="5"/>
  <c r="F14" i="5"/>
  <c r="F19" i="6"/>
  <c r="G14" i="5"/>
  <c r="G19" i="6"/>
  <c r="H14" i="5"/>
  <c r="H19" i="6"/>
  <c r="I14" i="5"/>
  <c r="I19" i="6"/>
  <c r="J19" i="6"/>
  <c r="J14" i="5"/>
  <c r="K14" i="5"/>
  <c r="K19" i="6"/>
  <c r="L14" i="5"/>
  <c r="L19" i="6"/>
  <c r="M19" i="6"/>
  <c r="M14" i="5"/>
  <c r="N14" i="5"/>
  <c r="N19" i="6"/>
  <c r="O14" i="5"/>
  <c r="O19" i="6"/>
  <c r="P14" i="5"/>
  <c r="P19" i="6"/>
  <c r="Q19" i="6"/>
  <c r="Q14" i="5"/>
  <c r="R19" i="6"/>
  <c r="R14" i="5"/>
  <c r="S19" i="6"/>
  <c r="S14" i="5"/>
  <c r="T19" i="6"/>
  <c r="T14" i="5"/>
  <c r="U19" i="6"/>
  <c r="U14" i="5"/>
  <c r="V14" i="5"/>
  <c r="V19" i="6"/>
  <c r="W19" i="6"/>
  <c r="W14" i="5"/>
  <c r="X14" i="5"/>
  <c r="X19" i="6"/>
  <c r="Y19" i="6"/>
  <c r="Y14" i="5"/>
  <c r="Z19" i="6"/>
  <c r="Z14" i="5"/>
  <c r="AA14" i="5"/>
  <c r="AA19" i="6"/>
  <c r="AB19" i="6"/>
  <c r="AB14" i="5"/>
  <c r="AC19" i="6"/>
  <c r="AC14" i="5"/>
  <c r="AD14" i="5"/>
  <c r="AD19" i="6"/>
  <c r="AE14" i="5"/>
  <c r="AE19" i="6"/>
  <c r="AF14" i="5"/>
  <c r="AF19" i="6"/>
  <c r="AG19" i="6"/>
  <c r="AG14" i="5"/>
  <c r="AH14" i="5"/>
  <c r="AH19" i="6"/>
  <c r="AI14" i="5"/>
  <c r="AI19" i="6"/>
  <c r="AJ19" i="6"/>
  <c r="AJ14" i="5"/>
  <c r="AK14" i="5"/>
  <c r="AK19" i="6"/>
  <c r="AL14" i="5"/>
  <c r="AL19" i="6"/>
  <c r="C19" i="6"/>
  <c r="C14" i="5"/>
  <c r="D13" i="5"/>
  <c r="D18" i="6"/>
  <c r="E13" i="5"/>
  <c r="E18" i="6"/>
  <c r="F13" i="5"/>
  <c r="F18" i="6"/>
  <c r="G13" i="5"/>
  <c r="G18" i="6"/>
  <c r="H13" i="5"/>
  <c r="H18" i="6"/>
  <c r="I18" i="6"/>
  <c r="I13" i="5"/>
  <c r="J18" i="6"/>
  <c r="J13" i="5"/>
  <c r="K13" i="5"/>
  <c r="K18" i="6"/>
  <c r="L13" i="5"/>
  <c r="L18" i="6"/>
  <c r="M13" i="5"/>
  <c r="M18" i="6"/>
  <c r="N18" i="6"/>
  <c r="N13" i="5"/>
  <c r="O13" i="5"/>
  <c r="O18" i="6"/>
  <c r="P18" i="6"/>
  <c r="P13" i="5"/>
  <c r="Q13" i="5"/>
  <c r="Q18" i="6"/>
  <c r="R18" i="6"/>
  <c r="R13" i="5"/>
  <c r="S18" i="6"/>
  <c r="S13" i="5"/>
  <c r="T13" i="5"/>
  <c r="T18" i="6"/>
  <c r="U13" i="5"/>
  <c r="U18" i="6"/>
  <c r="V13" i="5"/>
  <c r="V18" i="6"/>
  <c r="W13" i="5"/>
  <c r="W18" i="6"/>
  <c r="X13" i="5"/>
  <c r="X18" i="6"/>
  <c r="Y13" i="5"/>
  <c r="Y18" i="6"/>
  <c r="Z13" i="5"/>
  <c r="Z18" i="6"/>
  <c r="AA13" i="5"/>
  <c r="AA18" i="6"/>
  <c r="AB18" i="6"/>
  <c r="AB13" i="5"/>
  <c r="AC13" i="5"/>
  <c r="AC18" i="6"/>
  <c r="AD18" i="6"/>
  <c r="AD13" i="5"/>
  <c r="AE13" i="5"/>
  <c r="AE18" i="6"/>
  <c r="AF18" i="6"/>
  <c r="AF13" i="5"/>
  <c r="AG13" i="5"/>
  <c r="AG18" i="6"/>
  <c r="AH13" i="5"/>
  <c r="AH18" i="6"/>
  <c r="AI13" i="5"/>
  <c r="AI18" i="6"/>
  <c r="AJ13" i="5"/>
  <c r="AJ18" i="6"/>
  <c r="AK18" i="6"/>
  <c r="AK13" i="5"/>
  <c r="AL18" i="6"/>
  <c r="AL13" i="5"/>
  <c r="C18" i="6"/>
  <c r="C13" i="5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AL17" i="6"/>
  <c r="C17" i="6"/>
  <c r="D16" i="6"/>
  <c r="E16" i="6"/>
  <c r="F16" i="6"/>
  <c r="G16" i="6"/>
  <c r="H16" i="6"/>
  <c r="I16" i="6"/>
  <c r="J16" i="6"/>
  <c r="K16" i="6"/>
  <c r="L16" i="6"/>
  <c r="D32" i="4"/>
  <c r="D15" i="5"/>
  <c r="E32" i="4"/>
  <c r="E15" i="5"/>
  <c r="F32" i="4"/>
  <c r="F15" i="5"/>
  <c r="G32" i="4"/>
  <c r="G15" i="5"/>
  <c r="H15" i="5"/>
  <c r="H32" i="4"/>
  <c r="I15" i="5"/>
  <c r="I32" i="4"/>
  <c r="J15" i="5"/>
  <c r="J32" i="4"/>
  <c r="K15" i="5"/>
  <c r="K32" i="4"/>
  <c r="L32" i="4"/>
  <c r="L15" i="5"/>
  <c r="M32" i="4"/>
  <c r="M15" i="5"/>
  <c r="N32" i="4"/>
  <c r="N15" i="5"/>
  <c r="O32" i="4"/>
  <c r="O15" i="5"/>
  <c r="P15" i="5"/>
  <c r="P32" i="4"/>
  <c r="C10" i="7"/>
  <c r="B25" i="8"/>
  <c r="C25" i="8"/>
  <c r="D25" i="8"/>
  <c r="C17" i="5" l="1"/>
  <c r="Z33" i="4"/>
  <c r="Z34" i="4" s="1"/>
  <c r="AE33" i="4"/>
  <c r="AE34" i="4" s="1"/>
  <c r="AL33" i="4"/>
  <c r="AL34" i="4" s="1"/>
  <c r="AD33" i="4"/>
  <c r="AD34" i="4" s="1"/>
  <c r="AG33" i="4"/>
  <c r="AG34" i="4" s="1"/>
  <c r="R33" i="4"/>
  <c r="R34" i="4" s="1"/>
  <c r="S33" i="4"/>
  <c r="S34" i="4" s="1"/>
  <c r="T33" i="4"/>
  <c r="T34" i="4" s="1"/>
  <c r="V33" i="4"/>
  <c r="V34" i="4" s="1"/>
  <c r="W33" i="4"/>
  <c r="W34" i="4" s="1"/>
  <c r="X33" i="4"/>
  <c r="X34" i="4" s="1"/>
  <c r="AC33" i="4"/>
  <c r="AC34" i="4"/>
  <c r="AF33" i="4"/>
  <c r="AF34" i="4" s="1"/>
  <c r="Q33" i="4"/>
  <c r="Q34" i="4" s="1"/>
  <c r="D16" i="5"/>
  <c r="E16" i="5"/>
  <c r="F16" i="5"/>
  <c r="G16" i="5"/>
  <c r="H16" i="5"/>
  <c r="I16" i="5"/>
  <c r="J16" i="5"/>
  <c r="K16" i="5"/>
  <c r="L16" i="5"/>
  <c r="M16" i="5"/>
  <c r="N16" i="5"/>
  <c r="O16" i="5"/>
  <c r="T16" i="5"/>
  <c r="P16" i="5"/>
  <c r="Q16" i="5"/>
  <c r="R16" i="5"/>
  <c r="S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U51" i="4"/>
  <c r="U15" i="6"/>
  <c r="Y51" i="4"/>
  <c r="Y15" i="6"/>
  <c r="AA51" i="4"/>
  <c r="AA15" i="6"/>
  <c r="AB51" i="4"/>
  <c r="AB15" i="6"/>
  <c r="AH51" i="4"/>
  <c r="AH15" i="6"/>
  <c r="AI51" i="4"/>
  <c r="AI15" i="6"/>
  <c r="AJ51" i="4"/>
  <c r="AJ15" i="6"/>
  <c r="AK51" i="4"/>
  <c r="AK15" i="6"/>
  <c r="C51" i="4"/>
  <c r="C15" i="6"/>
  <c r="D33" i="4"/>
  <c r="D34" i="4" s="1"/>
  <c r="E33" i="4"/>
  <c r="E34" i="4" s="1"/>
  <c r="F33" i="4"/>
  <c r="F34" i="4"/>
  <c r="G33" i="4"/>
  <c r="G34" i="4"/>
  <c r="H33" i="4"/>
  <c r="H34" i="4" s="1"/>
  <c r="I33" i="4"/>
  <c r="I34" i="4" s="1"/>
  <c r="J33" i="4"/>
  <c r="J34" i="4" s="1"/>
  <c r="K33" i="4"/>
  <c r="K34" i="4"/>
  <c r="L33" i="4"/>
  <c r="L34" i="4" s="1"/>
  <c r="M33" i="4"/>
  <c r="M34" i="4"/>
  <c r="N33" i="4"/>
  <c r="N34" i="4"/>
  <c r="O33" i="4"/>
  <c r="O34" i="4"/>
  <c r="P33" i="4"/>
  <c r="P34" i="4" s="1"/>
  <c r="C16" i="5"/>
  <c r="D11" i="3" l="1"/>
  <c r="D12" i="3" s="1"/>
  <c r="D13" i="3" s="1"/>
  <c r="D22" i="3"/>
  <c r="C24" i="3"/>
  <c r="C26" i="3"/>
  <c r="C5" i="4" s="1"/>
  <c r="C7" i="4" s="1"/>
  <c r="C27" i="3"/>
  <c r="C33" i="3" s="1"/>
  <c r="C28" i="3"/>
  <c r="C3" i="4"/>
  <c r="Z51" i="4"/>
  <c r="Z15" i="6"/>
  <c r="AC51" i="4"/>
  <c r="AC15" i="6"/>
  <c r="AF15" i="6"/>
  <c r="AF51" i="4"/>
  <c r="AE15" i="6"/>
  <c r="AE51" i="4"/>
  <c r="AL15" i="6"/>
  <c r="AL51" i="4"/>
  <c r="AD15" i="6"/>
  <c r="AD51" i="4"/>
  <c r="AG15" i="6"/>
  <c r="AG51" i="4"/>
  <c r="R15" i="6"/>
  <c r="R51" i="4"/>
  <c r="S51" i="4"/>
  <c r="S15" i="6"/>
  <c r="T15" i="6"/>
  <c r="T51" i="4"/>
  <c r="V15" i="6"/>
  <c r="V51" i="4"/>
  <c r="W15" i="6"/>
  <c r="W51" i="4"/>
  <c r="X15" i="6"/>
  <c r="X51" i="4"/>
  <c r="Q15" i="6"/>
  <c r="Q51" i="4"/>
  <c r="D51" i="4"/>
  <c r="D15" i="6"/>
  <c r="E51" i="4"/>
  <c r="E15" i="6"/>
  <c r="F51" i="4"/>
  <c r="F15" i="6"/>
  <c r="G51" i="4"/>
  <c r="G15" i="6"/>
  <c r="H51" i="4"/>
  <c r="H15" i="6"/>
  <c r="I51" i="4"/>
  <c r="I15" i="6"/>
  <c r="J51" i="4"/>
  <c r="J15" i="6"/>
  <c r="K51" i="4"/>
  <c r="K15" i="6"/>
  <c r="L51" i="4"/>
  <c r="L15" i="6"/>
  <c r="M51" i="4"/>
  <c r="M15" i="6"/>
  <c r="N51" i="4"/>
  <c r="N15" i="6"/>
  <c r="O51" i="4"/>
  <c r="O15" i="6"/>
  <c r="P51" i="4"/>
  <c r="P15" i="6"/>
  <c r="C18" i="5"/>
  <c r="C29" i="3" l="1"/>
  <c r="C16" i="4"/>
  <c r="C17" i="4" s="1"/>
  <c r="C8" i="6" s="1"/>
  <c r="C21" i="4"/>
  <c r="C10" i="6" s="1"/>
  <c r="D17" i="5"/>
  <c r="D18" i="5" s="1"/>
  <c r="C34" i="3"/>
  <c r="C35" i="3" l="1"/>
  <c r="C30" i="3"/>
  <c r="D14" i="3" s="1"/>
  <c r="D16" i="3" s="1"/>
  <c r="D17" i="3" s="1"/>
  <c r="C4" i="4" l="1"/>
  <c r="C6" i="4" s="1"/>
  <c r="C8" i="4" s="1"/>
  <c r="C31" i="3"/>
  <c r="C36" i="3"/>
  <c r="C37" i="3" s="1"/>
  <c r="D20" i="3"/>
  <c r="D23" i="3" s="1"/>
  <c r="C10" i="4" l="1"/>
  <c r="C9" i="4"/>
  <c r="C14" i="4" s="1"/>
  <c r="C39" i="3"/>
  <c r="C41" i="3"/>
  <c r="C46" i="3"/>
  <c r="C20" i="5" s="1"/>
  <c r="C22" i="5" s="1"/>
  <c r="C23" i="5" s="1"/>
  <c r="C19" i="4"/>
  <c r="C3" i="6"/>
  <c r="D28" i="3"/>
  <c r="D34" i="3" s="1"/>
  <c r="D3" i="4"/>
  <c r="D27" i="3"/>
  <c r="E11" i="3"/>
  <c r="E12" i="3" s="1"/>
  <c r="E13" i="3" s="1"/>
  <c r="D26" i="3"/>
  <c r="E22" i="3"/>
  <c r="D24" i="3"/>
  <c r="C26" i="4" l="1"/>
  <c r="C7" i="6"/>
  <c r="D33" i="3"/>
  <c r="E17" i="5"/>
  <c r="E18" i="5" s="1"/>
  <c r="D5" i="4"/>
  <c r="D7" i="4" s="1"/>
  <c r="D29" i="3"/>
  <c r="D16" i="4"/>
  <c r="D17" i="4" s="1"/>
  <c r="D8" i="6" s="1"/>
  <c r="D21" i="4"/>
  <c r="D10" i="6" s="1"/>
  <c r="C4" i="6"/>
  <c r="C40" i="3"/>
  <c r="C9" i="6"/>
  <c r="C23" i="4"/>
  <c r="C11" i="6" l="1"/>
  <c r="C5" i="5"/>
  <c r="C6" i="5"/>
  <c r="C25" i="4"/>
  <c r="C24" i="4"/>
  <c r="C60" i="4"/>
  <c r="D35" i="3"/>
  <c r="D30" i="3"/>
  <c r="E14" i="3" s="1"/>
  <c r="E16" i="3" s="1"/>
  <c r="C42" i="3"/>
  <c r="C43" i="3" s="1"/>
  <c r="C44" i="3" s="1"/>
  <c r="C47" i="3"/>
  <c r="C48" i="3" s="1"/>
  <c r="C8" i="5"/>
  <c r="C3" i="7"/>
  <c r="C5" i="6"/>
  <c r="C9" i="5"/>
  <c r="C3" i="5"/>
  <c r="C4" i="5"/>
  <c r="E17" i="3" l="1"/>
  <c r="C10" i="5"/>
  <c r="C11" i="5" s="1"/>
  <c r="C23" i="6"/>
  <c r="C24" i="6" s="1"/>
  <c r="C62" i="4"/>
  <c r="C4" i="7" s="1"/>
  <c r="C8" i="7" s="1"/>
  <c r="C63" i="4"/>
  <c r="D31" i="3"/>
  <c r="E20" i="3"/>
  <c r="D36" i="3"/>
  <c r="D37" i="3" s="1"/>
  <c r="D4" i="4"/>
  <c r="D6" i="4" s="1"/>
  <c r="D8" i="4" s="1"/>
  <c r="C12" i="6"/>
  <c r="C13" i="6" s="1"/>
  <c r="E23" i="3" l="1"/>
  <c r="C32" i="6"/>
  <c r="C35" i="6" s="1"/>
  <c r="C36" i="6" s="1"/>
  <c r="C37" i="6" s="1"/>
  <c r="C38" i="6" s="1"/>
  <c r="C34" i="6"/>
  <c r="C11" i="7"/>
  <c r="C14" i="7"/>
  <c r="C15" i="7" s="1"/>
  <c r="C17" i="7"/>
  <c r="D46" i="3"/>
  <c r="D20" i="5" s="1"/>
  <c r="D22" i="5" s="1"/>
  <c r="D23" i="5" s="1"/>
  <c r="D39" i="3"/>
  <c r="D3" i="6"/>
  <c r="D19" i="4"/>
  <c r="D41" i="3"/>
  <c r="D10" i="4"/>
  <c r="D9" i="4"/>
  <c r="E28" i="3" l="1"/>
  <c r="E34" i="3" s="1"/>
  <c r="E27" i="3"/>
  <c r="E33" i="3" s="1"/>
  <c r="E24" i="3"/>
  <c r="E26" i="3"/>
  <c r="E3" i="4"/>
  <c r="F11" i="3"/>
  <c r="F12" i="3" s="1"/>
  <c r="F22" i="3"/>
  <c r="D14" i="4"/>
  <c r="D10" i="7"/>
  <c r="C18" i="7"/>
  <c r="C12" i="7"/>
  <c r="D9" i="6"/>
  <c r="D40" i="3"/>
  <c r="D4" i="6"/>
  <c r="E5" i="4" l="1"/>
  <c r="E7" i="4" s="1"/>
  <c r="E29" i="3"/>
  <c r="E16" i="4"/>
  <c r="E17" i="4" s="1"/>
  <c r="E8" i="6" s="1"/>
  <c r="E21" i="4"/>
  <c r="E10" i="6" s="1"/>
  <c r="D7" i="6"/>
  <c r="D11" i="6" s="1"/>
  <c r="D26" i="4"/>
  <c r="D23" i="4"/>
  <c r="D3" i="7"/>
  <c r="D5" i="6"/>
  <c r="D47" i="3"/>
  <c r="D48" i="3" s="1"/>
  <c r="D8" i="5"/>
  <c r="D42" i="3"/>
  <c r="D43" i="3" s="1"/>
  <c r="D44" i="3" s="1"/>
  <c r="E30" i="3" l="1"/>
  <c r="F6" i="3" s="1"/>
  <c r="F7" i="3" s="1"/>
  <c r="F9" i="3" s="1"/>
  <c r="F13" i="3" s="1"/>
  <c r="F17" i="5" s="1"/>
  <c r="F18" i="5" s="1"/>
  <c r="E35" i="3"/>
  <c r="D5" i="5"/>
  <c r="D6" i="5"/>
  <c r="D60" i="4"/>
  <c r="D9" i="5"/>
  <c r="D10" i="5" s="1"/>
  <c r="D11" i="5" s="1"/>
  <c r="D24" i="4"/>
  <c r="D4" i="5"/>
  <c r="D25" i="4"/>
  <c r="D3" i="5"/>
  <c r="D12" i="6"/>
  <c r="D13" i="6" s="1"/>
  <c r="F14" i="3" l="1"/>
  <c r="F16" i="3" s="1"/>
  <c r="F17" i="3" s="1"/>
  <c r="F20" i="3"/>
  <c r="E36" i="3"/>
  <c r="E37" i="3" s="1"/>
  <c r="E31" i="3"/>
  <c r="E4" i="4"/>
  <c r="E6" i="4" s="1"/>
  <c r="E8" i="4" s="1"/>
  <c r="D23" i="6"/>
  <c r="D24" i="6" s="1"/>
  <c r="D62" i="4"/>
  <c r="D4" i="7" s="1"/>
  <c r="D8" i="7" s="1"/>
  <c r="D63" i="4"/>
  <c r="F23" i="3" l="1"/>
  <c r="E41" i="3"/>
  <c r="E3" i="6"/>
  <c r="E46" i="3"/>
  <c r="E20" i="5" s="1"/>
  <c r="E22" i="5" s="1"/>
  <c r="E23" i="5" s="1"/>
  <c r="E19" i="4"/>
  <c r="E9" i="6" s="1"/>
  <c r="E39" i="3"/>
  <c r="E40" i="3" s="1"/>
  <c r="E9" i="4"/>
  <c r="E14" i="4" s="1"/>
  <c r="E23" i="4" s="1"/>
  <c r="E10" i="4"/>
  <c r="F24" i="3"/>
  <c r="G11" i="3"/>
  <c r="G12" i="3" s="1"/>
  <c r="F26" i="3"/>
  <c r="G22" i="3"/>
  <c r="D34" i="6"/>
  <c r="D32" i="6"/>
  <c r="D35" i="6" s="1"/>
  <c r="D36" i="6" s="1"/>
  <c r="D37" i="6" s="1"/>
  <c r="D14" i="7"/>
  <c r="D17" i="7"/>
  <c r="D11" i="7"/>
  <c r="E4" i="6"/>
  <c r="F3" i="4" l="1"/>
  <c r="F27" i="3"/>
  <c r="F28" i="3"/>
  <c r="F34" i="3" s="1"/>
  <c r="F5" i="4"/>
  <c r="F7" i="4" s="1"/>
  <c r="D15" i="7"/>
  <c r="E10" i="7"/>
  <c r="D18" i="7"/>
  <c r="D12" i="7"/>
  <c r="E47" i="3"/>
  <c r="E48" i="3" s="1"/>
  <c r="E49" i="3" s="1"/>
  <c r="E3" i="7"/>
  <c r="E5" i="6"/>
  <c r="E42" i="3"/>
  <c r="E8" i="5"/>
  <c r="E26" i="4"/>
  <c r="E7" i="6"/>
  <c r="E11" i="6" s="1"/>
  <c r="E60" i="4"/>
  <c r="E9" i="5"/>
  <c r="E4" i="5"/>
  <c r="E24" i="4"/>
  <c r="D38" i="6"/>
  <c r="F21" i="4" l="1"/>
  <c r="F10" i="6" s="1"/>
  <c r="F16" i="4"/>
  <c r="F17" i="4" s="1"/>
  <c r="F8" i="6" s="1"/>
  <c r="F33" i="3"/>
  <c r="F29" i="3"/>
  <c r="E12" i="6"/>
  <c r="E13" i="6" s="1"/>
  <c r="E43" i="3"/>
  <c r="E44" i="3" s="1"/>
  <c r="E5" i="7"/>
  <c r="E10" i="5"/>
  <c r="E11" i="5" s="1"/>
  <c r="E6" i="5"/>
  <c r="E25" i="4"/>
  <c r="E3" i="5"/>
  <c r="E5" i="5"/>
  <c r="E63" i="4"/>
  <c r="E23" i="6"/>
  <c r="E24" i="6" s="1"/>
  <c r="E62" i="4"/>
  <c r="E4" i="7" s="1"/>
  <c r="F30" i="3" l="1"/>
  <c r="F35" i="3"/>
  <c r="G6" i="3"/>
  <c r="G7" i="3" s="1"/>
  <c r="G9" i="3" s="1"/>
  <c r="G13" i="3" s="1"/>
  <c r="G17" i="5" s="1"/>
  <c r="G18" i="5" s="1"/>
  <c r="E32" i="6"/>
  <c r="E35" i="6" s="1"/>
  <c r="E36" i="6" s="1"/>
  <c r="E37" i="6" s="1"/>
  <c r="E34" i="6"/>
  <c r="F4" i="4" l="1"/>
  <c r="F6" i="4" s="1"/>
  <c r="F8" i="4" s="1"/>
  <c r="G14" i="3"/>
  <c r="G16" i="3" s="1"/>
  <c r="G20" i="3"/>
  <c r="F31" i="3"/>
  <c r="F36" i="3"/>
  <c r="F37" i="3" s="1"/>
  <c r="F3" i="6"/>
  <c r="F19" i="4"/>
  <c r="F9" i="6" s="1"/>
  <c r="G17" i="3"/>
  <c r="G23" i="3" s="1"/>
  <c r="E38" i="6"/>
  <c r="E6" i="7"/>
  <c r="E8" i="7" s="1"/>
  <c r="F10" i="4" l="1"/>
  <c r="F9" i="4"/>
  <c r="F41" i="3"/>
  <c r="F46" i="3"/>
  <c r="F20" i="5" s="1"/>
  <c r="F22" i="5" s="1"/>
  <c r="F23" i="5" s="1"/>
  <c r="F39" i="3"/>
  <c r="H11" i="3"/>
  <c r="H12" i="3" s="1"/>
  <c r="G3" i="4"/>
  <c r="G26" i="3"/>
  <c r="F14" i="4"/>
  <c r="G24" i="3"/>
  <c r="G27" i="3"/>
  <c r="G33" i="3" s="1"/>
  <c r="H22" i="3"/>
  <c r="G28" i="3"/>
  <c r="G34" i="3" s="1"/>
  <c r="E11" i="7"/>
  <c r="E14" i="7"/>
  <c r="E17" i="7"/>
  <c r="F40" i="3" l="1"/>
  <c r="F4" i="6"/>
  <c r="F26" i="4"/>
  <c r="F23" i="4"/>
  <c r="F7" i="6"/>
  <c r="F11" i="6" s="1"/>
  <c r="G16" i="4"/>
  <c r="G17" i="4" s="1"/>
  <c r="G8" i="6" s="1"/>
  <c r="G21" i="4"/>
  <c r="G10" i="6" s="1"/>
  <c r="G5" i="4"/>
  <c r="G7" i="4" s="1"/>
  <c r="G29" i="3"/>
  <c r="G35" i="3"/>
  <c r="G30" i="3"/>
  <c r="H20" i="3"/>
  <c r="E15" i="7"/>
  <c r="F10" i="7"/>
  <c r="E18" i="7"/>
  <c r="E12" i="7"/>
  <c r="F47" i="3" l="1"/>
  <c r="F48" i="3" s="1"/>
  <c r="F42" i="3"/>
  <c r="F43" i="3" s="1"/>
  <c r="F44" i="3" s="1"/>
  <c r="F8" i="5"/>
  <c r="F5" i="6"/>
  <c r="F12" i="6" s="1"/>
  <c r="F13" i="6" s="1"/>
  <c r="F3" i="7"/>
  <c r="G36" i="3"/>
  <c r="G4" i="4"/>
  <c r="G6" i="4" s="1"/>
  <c r="G8" i="4" s="1"/>
  <c r="G31" i="3"/>
  <c r="F6" i="5"/>
  <c r="F5" i="5"/>
  <c r="F25" i="4"/>
  <c r="F24" i="4"/>
  <c r="F9" i="5"/>
  <c r="F10" i="5" s="1"/>
  <c r="F11" i="5" s="1"/>
  <c r="F60" i="4"/>
  <c r="F3" i="5"/>
  <c r="F4" i="5"/>
  <c r="H6" i="3"/>
  <c r="H7" i="3" s="1"/>
  <c r="H9" i="3" s="1"/>
  <c r="H13" i="3" s="1"/>
  <c r="H17" i="5" s="1"/>
  <c r="H18" i="5" s="1"/>
  <c r="H14" i="3"/>
  <c r="H16" i="3" s="1"/>
  <c r="G37" i="3"/>
  <c r="G41" i="3"/>
  <c r="G19" i="4"/>
  <c r="G9" i="6" s="1"/>
  <c r="G3" i="6" l="1"/>
  <c r="G46" i="3"/>
  <c r="G20" i="5" s="1"/>
  <c r="G22" i="5" s="1"/>
  <c r="G23" i="5" s="1"/>
  <c r="G10" i="4"/>
  <c r="G9" i="4"/>
  <c r="G39" i="3"/>
  <c r="G4" i="6" s="1"/>
  <c r="G40" i="3"/>
  <c r="F63" i="4"/>
  <c r="F62" i="4"/>
  <c r="F4" i="7" s="1"/>
  <c r="F8" i="7" s="1"/>
  <c r="F23" i="6"/>
  <c r="F24" i="6" s="1"/>
  <c r="H17" i="3"/>
  <c r="H23" i="3" s="1"/>
  <c r="G14" i="4"/>
  <c r="G42" i="3"/>
  <c r="G43" i="3" s="1"/>
  <c r="G44" i="3" s="1"/>
  <c r="G8" i="5" l="1"/>
  <c r="G47" i="3"/>
  <c r="G48" i="3" s="1"/>
  <c r="G5" i="6"/>
  <c r="G3" i="7"/>
  <c r="F17" i="7"/>
  <c r="F14" i="7"/>
  <c r="F11" i="7"/>
  <c r="F32" i="6"/>
  <c r="F35" i="6" s="1"/>
  <c r="F36" i="6" s="1"/>
  <c r="F37" i="6" s="1"/>
  <c r="F38" i="6" s="1"/>
  <c r="F34" i="6"/>
  <c r="H27" i="3"/>
  <c r="I11" i="3"/>
  <c r="I12" i="3" s="1"/>
  <c r="H26" i="3"/>
  <c r="I22" i="3"/>
  <c r="H24" i="3"/>
  <c r="H3" i="4"/>
  <c r="H28" i="3"/>
  <c r="H34" i="3" s="1"/>
  <c r="G23" i="4"/>
  <c r="G7" i="6"/>
  <c r="G11" i="6" s="1"/>
  <c r="G26" i="4"/>
  <c r="G12" i="6" l="1"/>
  <c r="G13" i="6" s="1"/>
  <c r="F15" i="7"/>
  <c r="G10" i="7"/>
  <c r="F12" i="7"/>
  <c r="F18" i="7"/>
  <c r="H29" i="3"/>
  <c r="H5" i="4"/>
  <c r="H7" i="4" s="1"/>
  <c r="H16" i="4"/>
  <c r="H17" i="4" s="1"/>
  <c r="H8" i="6" s="1"/>
  <c r="H21" i="4"/>
  <c r="H10" i="6" s="1"/>
  <c r="H33" i="3"/>
  <c r="G25" i="4"/>
  <c r="G24" i="4"/>
  <c r="G3" i="5"/>
  <c r="G60" i="4"/>
  <c r="G9" i="5"/>
  <c r="G10" i="5" s="1"/>
  <c r="G11" i="5" s="1"/>
  <c r="G4" i="5"/>
  <c r="G5" i="5"/>
  <c r="G6" i="5"/>
  <c r="H35" i="3" l="1"/>
  <c r="H30" i="3"/>
  <c r="I14" i="3" s="1"/>
  <c r="I16" i="3" s="1"/>
  <c r="G23" i="6"/>
  <c r="G24" i="6" s="1"/>
  <c r="G63" i="4"/>
  <c r="G62" i="4"/>
  <c r="G4" i="7" s="1"/>
  <c r="G8" i="7" s="1"/>
  <c r="H4" i="4" l="1"/>
  <c r="H6" i="4" s="1"/>
  <c r="H8" i="4" s="1"/>
  <c r="H31" i="3"/>
  <c r="I20" i="3"/>
  <c r="H36" i="3"/>
  <c r="H37" i="3" s="1"/>
  <c r="I6" i="3"/>
  <c r="I7" i="3" s="1"/>
  <c r="I9" i="3" s="1"/>
  <c r="I13" i="3" s="1"/>
  <c r="G32" i="6"/>
  <c r="G35" i="6" s="1"/>
  <c r="G36" i="6" s="1"/>
  <c r="G37" i="6" s="1"/>
  <c r="G38" i="6" s="1"/>
  <c r="G34" i="6"/>
  <c r="G11" i="7"/>
  <c r="G17" i="7"/>
  <c r="G14" i="7"/>
  <c r="H9" i="4" l="1"/>
  <c r="H10" i="4"/>
  <c r="H41" i="3"/>
  <c r="H46" i="3"/>
  <c r="H20" i="5" s="1"/>
  <c r="H22" i="5" s="1"/>
  <c r="H23" i="5" s="1"/>
  <c r="H3" i="6"/>
  <c r="H39" i="3"/>
  <c r="H19" i="4"/>
  <c r="H9" i="6" s="1"/>
  <c r="I17" i="3"/>
  <c r="I23" i="3" s="1"/>
  <c r="I17" i="5"/>
  <c r="I18" i="5" s="1"/>
  <c r="G15" i="7"/>
  <c r="G18" i="7"/>
  <c r="G12" i="7"/>
  <c r="H10" i="7"/>
  <c r="H14" i="4" l="1"/>
  <c r="H4" i="6"/>
  <c r="H40" i="3"/>
  <c r="J22" i="3"/>
  <c r="I28" i="3"/>
  <c r="I34" i="3" s="1"/>
  <c r="J11" i="3"/>
  <c r="J12" i="3" s="1"/>
  <c r="I3" i="4"/>
  <c r="I24" i="3"/>
  <c r="I26" i="3"/>
  <c r="I27" i="3"/>
  <c r="I33" i="3" s="1"/>
  <c r="H23" i="4" l="1"/>
  <c r="H26" i="4"/>
  <c r="H7" i="6"/>
  <c r="H11" i="6" s="1"/>
  <c r="H8" i="5"/>
  <c r="H5" i="6"/>
  <c r="H47" i="3"/>
  <c r="H48" i="3" s="1"/>
  <c r="H3" i="7"/>
  <c r="H42" i="3"/>
  <c r="I21" i="4"/>
  <c r="I10" i="6" s="1"/>
  <c r="I16" i="4"/>
  <c r="I17" i="4" s="1"/>
  <c r="I8" i="6" s="1"/>
  <c r="I5" i="4"/>
  <c r="I7" i="4" s="1"/>
  <c r="I29" i="3"/>
  <c r="H25" i="4" l="1"/>
  <c r="H3" i="5"/>
  <c r="H6" i="5"/>
  <c r="H5" i="5"/>
  <c r="H12" i="6"/>
  <c r="H13" i="6" s="1"/>
  <c r="H24" i="4"/>
  <c r="H60" i="4"/>
  <c r="H9" i="5"/>
  <c r="H10" i="5" s="1"/>
  <c r="H11" i="5" s="1"/>
  <c r="H4" i="5"/>
  <c r="H43" i="3"/>
  <c r="H44" i="3" s="1"/>
  <c r="H5" i="7"/>
  <c r="I30" i="3"/>
  <c r="J14" i="3" s="1"/>
  <c r="J16" i="3" s="1"/>
  <c r="I35" i="3"/>
  <c r="H62" i="4" l="1"/>
  <c r="H4" i="7" s="1"/>
  <c r="H23" i="6"/>
  <c r="H24" i="6" s="1"/>
  <c r="H32" i="6" s="1"/>
  <c r="H35" i="6" s="1"/>
  <c r="H36" i="6" s="1"/>
  <c r="H37" i="6" s="1"/>
  <c r="H63" i="4"/>
  <c r="J6" i="3"/>
  <c r="J7" i="3" s="1"/>
  <c r="J9" i="3" s="1"/>
  <c r="J13" i="3" s="1"/>
  <c r="J20" i="3"/>
  <c r="I36" i="3"/>
  <c r="I37" i="3" s="1"/>
  <c r="I4" i="4"/>
  <c r="I6" i="4" s="1"/>
  <c r="I8" i="4" s="1"/>
  <c r="I31" i="3"/>
  <c r="H34" i="6"/>
  <c r="H6" i="7" l="1"/>
  <c r="H8" i="7" s="1"/>
  <c r="H38" i="6"/>
  <c r="J17" i="3"/>
  <c r="J23" i="3" s="1"/>
  <c r="J17" i="5"/>
  <c r="J18" i="5" s="1"/>
  <c r="I3" i="6"/>
  <c r="I46" i="3"/>
  <c r="I20" i="5" s="1"/>
  <c r="I22" i="5" s="1"/>
  <c r="I23" i="5" s="1"/>
  <c r="I41" i="3"/>
  <c r="I39" i="3"/>
  <c r="I19" i="4"/>
  <c r="I9" i="6" s="1"/>
  <c r="I10" i="4"/>
  <c r="I9" i="4"/>
  <c r="I14" i="4" s="1"/>
  <c r="I23" i="4" s="1"/>
  <c r="H11" i="7" l="1"/>
  <c r="H17" i="7"/>
  <c r="H14" i="7"/>
  <c r="I7" i="6"/>
  <c r="I11" i="6" s="1"/>
  <c r="I26" i="4"/>
  <c r="J28" i="3"/>
  <c r="K22" i="3"/>
  <c r="J27" i="3"/>
  <c r="J33" i="3" s="1"/>
  <c r="J24" i="3"/>
  <c r="K11" i="3"/>
  <c r="K12" i="3" s="1"/>
  <c r="J3" i="4"/>
  <c r="J26" i="3"/>
  <c r="I4" i="6"/>
  <c r="I40" i="3"/>
  <c r="I4" i="5"/>
  <c r="I9" i="5"/>
  <c r="I60" i="4"/>
  <c r="I63" i="4" s="1"/>
  <c r="I24" i="4"/>
  <c r="H15" i="7" l="1"/>
  <c r="I10" i="7"/>
  <c r="H18" i="7"/>
  <c r="H12" i="7"/>
  <c r="I5" i="5"/>
  <c r="I6" i="5"/>
  <c r="I25" i="4"/>
  <c r="I3" i="5"/>
  <c r="J16" i="4"/>
  <c r="J17" i="4" s="1"/>
  <c r="J8" i="6" s="1"/>
  <c r="J21" i="4"/>
  <c r="J10" i="6" s="1"/>
  <c r="J29" i="3"/>
  <c r="J35" i="3" s="1"/>
  <c r="J5" i="4"/>
  <c r="J7" i="4" s="1"/>
  <c r="I47" i="3"/>
  <c r="I48" i="3" s="1"/>
  <c r="I5" i="6"/>
  <c r="I12" i="6" s="1"/>
  <c r="I13" i="6" s="1"/>
  <c r="I42" i="3"/>
  <c r="I43" i="3" s="1"/>
  <c r="I44" i="3" s="1"/>
  <c r="I3" i="7"/>
  <c r="I8" i="5"/>
  <c r="I10" i="5" s="1"/>
  <c r="I11" i="5" s="1"/>
  <c r="J34" i="3"/>
  <c r="J30" i="3"/>
  <c r="J4" i="4"/>
  <c r="J6" i="4" s="1"/>
  <c r="J8" i="4" s="1"/>
  <c r="I23" i="6"/>
  <c r="I24" i="6" s="1"/>
  <c r="I62" i="4"/>
  <c r="I4" i="7" s="1"/>
  <c r="I8" i="7" l="1"/>
  <c r="J31" i="3"/>
  <c r="K6" i="3"/>
  <c r="K7" i="3" s="1"/>
  <c r="K9" i="3" s="1"/>
  <c r="K13" i="3" s="1"/>
  <c r="J36" i="3"/>
  <c r="J37" i="3" s="1"/>
  <c r="K20" i="3"/>
  <c r="K14" i="3"/>
  <c r="K16" i="3" s="1"/>
  <c r="I34" i="6"/>
  <c r="I32" i="6"/>
  <c r="I35" i="6" s="1"/>
  <c r="I36" i="6" s="1"/>
  <c r="I37" i="6" s="1"/>
  <c r="I38" i="6" s="1"/>
  <c r="J9" i="4"/>
  <c r="J10" i="4"/>
  <c r="I17" i="7" l="1"/>
  <c r="I14" i="7"/>
  <c r="I15" i="7" s="1"/>
  <c r="I11" i="7"/>
  <c r="K17" i="3"/>
  <c r="K23" i="3" s="1"/>
  <c r="K17" i="5"/>
  <c r="K18" i="5" s="1"/>
  <c r="J41" i="3"/>
  <c r="J39" i="3"/>
  <c r="J3" i="6"/>
  <c r="J46" i="3"/>
  <c r="J20" i="5" s="1"/>
  <c r="J22" i="5" s="1"/>
  <c r="J23" i="5" s="1"/>
  <c r="J19" i="4"/>
  <c r="J9" i="6" s="1"/>
  <c r="J14" i="4"/>
  <c r="K28" i="3" l="1"/>
  <c r="K34" i="3" s="1"/>
  <c r="L11" i="3"/>
  <c r="L12" i="3" s="1"/>
  <c r="K3" i="4"/>
  <c r="I18" i="7"/>
  <c r="J10" i="7"/>
  <c r="I12" i="7"/>
  <c r="K24" i="3"/>
  <c r="K26" i="3"/>
  <c r="K27" i="3"/>
  <c r="K33" i="3" s="1"/>
  <c r="L22" i="3"/>
  <c r="J4" i="6"/>
  <c r="J40" i="3"/>
  <c r="J23" i="4"/>
  <c r="J26" i="4"/>
  <c r="J7" i="6"/>
  <c r="J11" i="6" s="1"/>
  <c r="K21" i="4" l="1"/>
  <c r="K10" i="6" s="1"/>
  <c r="K16" i="4"/>
  <c r="K17" i="4" s="1"/>
  <c r="K8" i="6" s="1"/>
  <c r="K29" i="3"/>
  <c r="K5" i="4"/>
  <c r="K7" i="4" s="1"/>
  <c r="J5" i="6"/>
  <c r="J12" i="6" s="1"/>
  <c r="J13" i="6" s="1"/>
  <c r="J3" i="7"/>
  <c r="J8" i="5"/>
  <c r="J47" i="3"/>
  <c r="J48" i="3" s="1"/>
  <c r="J42" i="3"/>
  <c r="J43" i="3" s="1"/>
  <c r="J44" i="3" s="1"/>
  <c r="J60" i="4"/>
  <c r="J25" i="4"/>
  <c r="J9" i="5"/>
  <c r="J4" i="5"/>
  <c r="J3" i="5"/>
  <c r="J24" i="4"/>
  <c r="J5" i="5"/>
  <c r="J6" i="5"/>
  <c r="J10" i="5" l="1"/>
  <c r="J11" i="5" s="1"/>
  <c r="K30" i="3"/>
  <c r="K35" i="3"/>
  <c r="K4" i="4"/>
  <c r="K6" i="4" s="1"/>
  <c r="K8" i="4" s="1"/>
  <c r="L20" i="3"/>
  <c r="K36" i="3"/>
  <c r="K37" i="3" s="1"/>
  <c r="J23" i="6"/>
  <c r="J24" i="6" s="1"/>
  <c r="J63" i="4"/>
  <c r="J62" i="4"/>
  <c r="J4" i="7" s="1"/>
  <c r="J8" i="7" s="1"/>
  <c r="L6" i="3" l="1"/>
  <c r="L7" i="3" s="1"/>
  <c r="L9" i="3" s="1"/>
  <c r="L13" i="3" s="1"/>
  <c r="K31" i="3"/>
  <c r="L14" i="3"/>
  <c r="L16" i="3" s="1"/>
  <c r="K9" i="4"/>
  <c r="K10" i="4"/>
  <c r="K3" i="6"/>
  <c r="K46" i="3"/>
  <c r="K20" i="5" s="1"/>
  <c r="K22" i="5" s="1"/>
  <c r="K23" i="5" s="1"/>
  <c r="K19" i="4"/>
  <c r="K9" i="6" s="1"/>
  <c r="K39" i="3"/>
  <c r="K41" i="3"/>
  <c r="J32" i="6"/>
  <c r="J35" i="6" s="1"/>
  <c r="J36" i="6" s="1"/>
  <c r="J37" i="6" s="1"/>
  <c r="J38" i="6" s="1"/>
  <c r="J34" i="6"/>
  <c r="J17" i="7"/>
  <c r="J11" i="7"/>
  <c r="J14" i="7"/>
  <c r="L17" i="5" l="1"/>
  <c r="L18" i="5" s="1"/>
  <c r="L17" i="3"/>
  <c r="L23" i="3" s="1"/>
  <c r="K40" i="3"/>
  <c r="K4" i="6"/>
  <c r="L28" i="3"/>
  <c r="L34" i="3" s="1"/>
  <c r="J12" i="7"/>
  <c r="J18" i="7"/>
  <c r="K10" i="7"/>
  <c r="J15" i="7"/>
  <c r="K14" i="4"/>
  <c r="M22" i="3" l="1"/>
  <c r="L26" i="3"/>
  <c r="L3" i="4"/>
  <c r="L24" i="3"/>
  <c r="M11" i="3"/>
  <c r="M12" i="3" s="1"/>
  <c r="L27" i="3"/>
  <c r="K5" i="6"/>
  <c r="K3" i="7"/>
  <c r="K42" i="3"/>
  <c r="K8" i="5"/>
  <c r="K47" i="3"/>
  <c r="K48" i="3" s="1"/>
  <c r="L29" i="3"/>
  <c r="L5" i="4"/>
  <c r="L7" i="4" s="1"/>
  <c r="L21" i="4"/>
  <c r="L10" i="6" s="1"/>
  <c r="L16" i="4"/>
  <c r="L17" i="4" s="1"/>
  <c r="L8" i="6" s="1"/>
  <c r="K26" i="4"/>
  <c r="K23" i="4"/>
  <c r="K7" i="6"/>
  <c r="K11" i="6" s="1"/>
  <c r="L33" i="3"/>
  <c r="L35" i="3" l="1"/>
  <c r="L30" i="3"/>
  <c r="K43" i="3"/>
  <c r="K44" i="3" s="1"/>
  <c r="K5" i="7"/>
  <c r="K6" i="5"/>
  <c r="K5" i="5"/>
  <c r="K9" i="5"/>
  <c r="K10" i="5" s="1"/>
  <c r="K11" i="5" s="1"/>
  <c r="K3" i="5"/>
  <c r="K60" i="4"/>
  <c r="K62" i="4" s="1"/>
  <c r="K4" i="7" s="1"/>
  <c r="K25" i="4"/>
  <c r="K24" i="4"/>
  <c r="K4" i="5"/>
  <c r="K12" i="6"/>
  <c r="K13" i="6" s="1"/>
  <c r="L31" i="3" l="1"/>
  <c r="M6" i="3"/>
  <c r="M7" i="3" s="1"/>
  <c r="M9" i="3" s="1"/>
  <c r="M13" i="3" s="1"/>
  <c r="M14" i="3"/>
  <c r="M16" i="3" s="1"/>
  <c r="M20" i="3"/>
  <c r="L36" i="3"/>
  <c r="L37" i="3" s="1"/>
  <c r="L4" i="4"/>
  <c r="L6" i="4" s="1"/>
  <c r="L8" i="4" s="1"/>
  <c r="K23" i="6"/>
  <c r="K24" i="6" s="1"/>
  <c r="K63" i="4"/>
  <c r="M17" i="5" l="1"/>
  <c r="M18" i="5" s="1"/>
  <c r="M17" i="3"/>
  <c r="M23" i="3" s="1"/>
  <c r="L3" i="6"/>
  <c r="L41" i="3"/>
  <c r="L19" i="4"/>
  <c r="L9" i="6" s="1"/>
  <c r="L39" i="3"/>
  <c r="L46" i="3"/>
  <c r="L20" i="5" s="1"/>
  <c r="L22" i="5" s="1"/>
  <c r="L23" i="5" s="1"/>
  <c r="L9" i="4"/>
  <c r="L10" i="4"/>
  <c r="K34" i="6"/>
  <c r="K32" i="6"/>
  <c r="K35" i="6" s="1"/>
  <c r="M28" i="3" l="1"/>
  <c r="M34" i="3" s="1"/>
  <c r="M3" i="4"/>
  <c r="M24" i="3"/>
  <c r="N11" i="3"/>
  <c r="N12" i="3" s="1"/>
  <c r="M26" i="3"/>
  <c r="N22" i="3"/>
  <c r="M27" i="3"/>
  <c r="L4" i="6"/>
  <c r="L40" i="3"/>
  <c r="L14" i="4"/>
  <c r="K36" i="6"/>
  <c r="K37" i="6" s="1"/>
  <c r="M21" i="4" l="1"/>
  <c r="M10" i="6" s="1"/>
  <c r="M16" i="4"/>
  <c r="M17" i="4" s="1"/>
  <c r="M8" i="6" s="1"/>
  <c r="K6" i="7"/>
  <c r="K8" i="7" s="1"/>
  <c r="K38" i="6"/>
  <c r="M5" i="4"/>
  <c r="M7" i="4" s="1"/>
  <c r="M29" i="3"/>
  <c r="L8" i="5"/>
  <c r="L3" i="7"/>
  <c r="L42" i="3"/>
  <c r="L43" i="3" s="1"/>
  <c r="L44" i="3" s="1"/>
  <c r="L5" i="6"/>
  <c r="L47" i="3"/>
  <c r="L48" i="3" s="1"/>
  <c r="L23" i="4"/>
  <c r="L26" i="4"/>
  <c r="L7" i="6"/>
  <c r="L11" i="6" s="1"/>
  <c r="M33" i="3"/>
  <c r="K14" i="7" l="1"/>
  <c r="K11" i="7"/>
  <c r="K17" i="7"/>
  <c r="M35" i="3"/>
  <c r="M30" i="3"/>
  <c r="L25" i="4"/>
  <c r="L24" i="4"/>
  <c r="L4" i="5"/>
  <c r="L60" i="4"/>
  <c r="L9" i="5"/>
  <c r="L10" i="5" s="1"/>
  <c r="L11" i="5" s="1"/>
  <c r="L3" i="5"/>
  <c r="L5" i="5"/>
  <c r="L6" i="5"/>
  <c r="L12" i="6"/>
  <c r="L13" i="6" s="1"/>
  <c r="K15" i="7" l="1"/>
  <c r="N20" i="3"/>
  <c r="M4" i="4"/>
  <c r="M6" i="4" s="1"/>
  <c r="M8" i="4" s="1"/>
  <c r="N6" i="3"/>
  <c r="N7" i="3" s="1"/>
  <c r="N9" i="3" s="1"/>
  <c r="N13" i="3" s="1"/>
  <c r="N14" i="3"/>
  <c r="N16" i="3" s="1"/>
  <c r="M36" i="3"/>
  <c r="M37" i="3" s="1"/>
  <c r="M31" i="3"/>
  <c r="K12" i="7"/>
  <c r="K18" i="7"/>
  <c r="L10" i="7"/>
  <c r="L23" i="6"/>
  <c r="L24" i="6" s="1"/>
  <c r="L63" i="4"/>
  <c r="L62" i="4"/>
  <c r="L4" i="7" s="1"/>
  <c r="L8" i="7" s="1"/>
  <c r="M10" i="4" l="1"/>
  <c r="M9" i="4"/>
  <c r="N17" i="3"/>
  <c r="N23" i="3" s="1"/>
  <c r="N17" i="5"/>
  <c r="M46" i="3"/>
  <c r="M20" i="5" s="1"/>
  <c r="M22" i="5" s="1"/>
  <c r="M23" i="5" s="1"/>
  <c r="M3" i="6"/>
  <c r="M39" i="3"/>
  <c r="M19" i="4"/>
  <c r="M9" i="6" s="1"/>
  <c r="M41" i="3"/>
  <c r="L32" i="6"/>
  <c r="L35" i="6" s="1"/>
  <c r="L36" i="6" s="1"/>
  <c r="L37" i="6" s="1"/>
  <c r="L38" i="6" s="1"/>
  <c r="L34" i="6"/>
  <c r="L11" i="7"/>
  <c r="L17" i="7"/>
  <c r="L14" i="7"/>
  <c r="N28" i="3" l="1"/>
  <c r="N34" i="3" s="1"/>
  <c r="D9" i="8"/>
  <c r="C9" i="8"/>
  <c r="N27" i="3"/>
  <c r="N33" i="3" s="1"/>
  <c r="B28" i="5"/>
  <c r="N18" i="5"/>
  <c r="M14" i="4"/>
  <c r="O22" i="3"/>
  <c r="B9" i="8"/>
  <c r="O11" i="3"/>
  <c r="O12" i="3" s="1"/>
  <c r="B53" i="3"/>
  <c r="N3" i="4"/>
  <c r="N24" i="3"/>
  <c r="N26" i="3"/>
  <c r="M40" i="3"/>
  <c r="M3" i="7" s="1"/>
  <c r="M4" i="6"/>
  <c r="L15" i="7"/>
  <c r="L18" i="7"/>
  <c r="M10" i="7"/>
  <c r="L12" i="7"/>
  <c r="M26" i="4" l="1"/>
  <c r="M7" i="6"/>
  <c r="M11" i="6" s="1"/>
  <c r="M23" i="4"/>
  <c r="M9" i="5" s="1"/>
  <c r="N16" i="4"/>
  <c r="N17" i="4" s="1"/>
  <c r="N8" i="6" s="1"/>
  <c r="N21" i="4"/>
  <c r="N10" i="6" s="1"/>
  <c r="N29" i="3"/>
  <c r="N5" i="4"/>
  <c r="N7" i="4" s="1"/>
  <c r="M47" i="3"/>
  <c r="M48" i="3" s="1"/>
  <c r="M42" i="3"/>
  <c r="M43" i="3" s="1"/>
  <c r="M44" i="3" s="1"/>
  <c r="M5" i="6"/>
  <c r="M8" i="5"/>
  <c r="M10" i="5" l="1"/>
  <c r="M11" i="5" s="1"/>
  <c r="M12" i="6"/>
  <c r="M13" i="6" s="1"/>
  <c r="M5" i="5"/>
  <c r="M6" i="5"/>
  <c r="N30" i="3"/>
  <c r="N35" i="3"/>
  <c r="M4" i="5"/>
  <c r="M25" i="4"/>
  <c r="M60" i="4"/>
  <c r="M24" i="4"/>
  <c r="M3" i="5"/>
  <c r="B12" i="8" l="1"/>
  <c r="O20" i="3"/>
  <c r="N31" i="3"/>
  <c r="C12" i="8"/>
  <c r="D12" i="8"/>
  <c r="O6" i="3"/>
  <c r="O7" i="3" s="1"/>
  <c r="O9" i="3" s="1"/>
  <c r="O13" i="3" s="1"/>
  <c r="N4" i="4"/>
  <c r="N6" i="4" s="1"/>
  <c r="N8" i="4" s="1"/>
  <c r="N36" i="3"/>
  <c r="N37" i="3" s="1"/>
  <c r="O14" i="3"/>
  <c r="O16" i="3" s="1"/>
  <c r="M63" i="4"/>
  <c r="M62" i="4"/>
  <c r="M4" i="7" s="1"/>
  <c r="M8" i="7" s="1"/>
  <c r="M23" i="6"/>
  <c r="M24" i="6" s="1"/>
  <c r="M17" i="7" l="1"/>
  <c r="M14" i="7"/>
  <c r="M11" i="7"/>
  <c r="M34" i="6"/>
  <c r="M32" i="6"/>
  <c r="M35" i="6" s="1"/>
  <c r="M36" i="6" s="1"/>
  <c r="M37" i="6" s="1"/>
  <c r="M38" i="6" s="1"/>
  <c r="O17" i="5"/>
  <c r="O18" i="5" s="1"/>
  <c r="O17" i="3"/>
  <c r="O23" i="3" s="1"/>
  <c r="N9" i="4"/>
  <c r="N10" i="4"/>
  <c r="N46" i="3"/>
  <c r="N20" i="5" s="1"/>
  <c r="N22" i="5" s="1"/>
  <c r="N23" i="5" s="1"/>
  <c r="N3" i="6"/>
  <c r="B50" i="3"/>
  <c r="N39" i="3"/>
  <c r="N19" i="4"/>
  <c r="N9" i="6" s="1"/>
  <c r="N41" i="3"/>
  <c r="M15" i="7" l="1"/>
  <c r="N10" i="7"/>
  <c r="M18" i="7"/>
  <c r="M12" i="7"/>
  <c r="N14" i="4"/>
  <c r="O27" i="3"/>
  <c r="O33" i="3" s="1"/>
  <c r="O26" i="3"/>
  <c r="O3" i="4"/>
  <c r="O28" i="3"/>
  <c r="O24" i="3"/>
  <c r="P22" i="3"/>
  <c r="P11" i="3"/>
  <c r="P12" i="3" s="1"/>
  <c r="D15" i="8"/>
  <c r="D40" i="8" s="1"/>
  <c r="C15" i="8"/>
  <c r="C40" i="8" s="1"/>
  <c r="B15" i="8"/>
  <c r="B40" i="8" s="1"/>
  <c r="N4" i="6"/>
  <c r="N40" i="3"/>
  <c r="N7" i="6" l="1"/>
  <c r="N11" i="6" s="1"/>
  <c r="N26" i="4"/>
  <c r="N23" i="4"/>
  <c r="O29" i="3"/>
  <c r="O5" i="4"/>
  <c r="O7" i="4" s="1"/>
  <c r="O16" i="4"/>
  <c r="O17" i="4" s="1"/>
  <c r="O8" i="6" s="1"/>
  <c r="O21" i="4"/>
  <c r="O10" i="6" s="1"/>
  <c r="N47" i="3"/>
  <c r="N48" i="3" s="1"/>
  <c r="N8" i="5"/>
  <c r="N5" i="6"/>
  <c r="N3" i="7"/>
  <c r="B20" i="7" s="1"/>
  <c r="N42" i="3"/>
  <c r="O34" i="3"/>
  <c r="N4" i="5" l="1"/>
  <c r="N60" i="4"/>
  <c r="N25" i="4"/>
  <c r="N9" i="5"/>
  <c r="N10" i="5" s="1"/>
  <c r="N11" i="5" s="1"/>
  <c r="B25" i="5" s="1"/>
  <c r="N24" i="4"/>
  <c r="N6" i="5"/>
  <c r="N5" i="5"/>
  <c r="N3" i="5"/>
  <c r="N12" i="6"/>
  <c r="N13" i="6" s="1"/>
  <c r="B40" i="6"/>
  <c r="N43" i="3"/>
  <c r="N44" i="3" s="1"/>
  <c r="N5" i="7"/>
  <c r="O35" i="3"/>
  <c r="O30" i="3"/>
  <c r="N23" i="6" l="1"/>
  <c r="N24" i="6" s="1"/>
  <c r="N63" i="4"/>
  <c r="N62" i="4"/>
  <c r="O4" i="4"/>
  <c r="O6" i="4" s="1"/>
  <c r="O8" i="4" s="1"/>
  <c r="O31" i="3"/>
  <c r="P6" i="3"/>
  <c r="P7" i="3" s="1"/>
  <c r="P9" i="3" s="1"/>
  <c r="P13" i="3" s="1"/>
  <c r="O36" i="3"/>
  <c r="O37" i="3" s="1"/>
  <c r="P20" i="3"/>
  <c r="P14" i="3"/>
  <c r="P16" i="3" s="1"/>
  <c r="B65" i="4" l="1"/>
  <c r="B21" i="8" s="1"/>
  <c r="N4" i="7"/>
  <c r="N34" i="6"/>
  <c r="B43" i="6" s="1"/>
  <c r="N32" i="6"/>
  <c r="N35" i="6" s="1"/>
  <c r="O10" i="4"/>
  <c r="O9" i="4"/>
  <c r="P17" i="5"/>
  <c r="P18" i="5" s="1"/>
  <c r="P17" i="3"/>
  <c r="P23" i="3" s="1"/>
  <c r="O41" i="3"/>
  <c r="O3" i="6"/>
  <c r="O39" i="3"/>
  <c r="O46" i="3"/>
  <c r="O20" i="5" s="1"/>
  <c r="O22" i="5" s="1"/>
  <c r="O23" i="5" s="1"/>
  <c r="O19" i="4"/>
  <c r="O9" i="6" s="1"/>
  <c r="C21" i="8" l="1"/>
  <c r="D21" i="8"/>
  <c r="O14" i="4"/>
  <c r="O7" i="6" s="1"/>
  <c r="O11" i="6" s="1"/>
  <c r="N36" i="6"/>
  <c r="N37" i="6" s="1"/>
  <c r="P27" i="3"/>
  <c r="P33" i="3" s="1"/>
  <c r="P28" i="3"/>
  <c r="P3" i="4"/>
  <c r="Q22" i="3"/>
  <c r="P24" i="3"/>
  <c r="P26" i="3"/>
  <c r="Q11" i="3"/>
  <c r="Q12" i="3" s="1"/>
  <c r="O40" i="3"/>
  <c r="O4" i="6"/>
  <c r="O26" i="4" l="1"/>
  <c r="O23" i="4"/>
  <c r="N6" i="7"/>
  <c r="N38" i="6"/>
  <c r="B46" i="6" s="1"/>
  <c r="P16" i="4"/>
  <c r="P17" i="4" s="1"/>
  <c r="P8" i="6" s="1"/>
  <c r="P21" i="4"/>
  <c r="P10" i="6" s="1"/>
  <c r="P29" i="3"/>
  <c r="P5" i="4"/>
  <c r="P7" i="4" s="1"/>
  <c r="O5" i="6"/>
  <c r="O12" i="6" s="1"/>
  <c r="O13" i="6" s="1"/>
  <c r="O42" i="3"/>
  <c r="O43" i="3" s="1"/>
  <c r="O44" i="3" s="1"/>
  <c r="O3" i="7"/>
  <c r="O47" i="3"/>
  <c r="O48" i="3" s="1"/>
  <c r="O8" i="5"/>
  <c r="P34" i="3"/>
  <c r="O5" i="5" l="1"/>
  <c r="O6" i="5"/>
  <c r="O4" i="5"/>
  <c r="O3" i="5"/>
  <c r="O9" i="5"/>
  <c r="O10" i="5" s="1"/>
  <c r="O11" i="5" s="1"/>
  <c r="O25" i="4"/>
  <c r="O24" i="4"/>
  <c r="O60" i="4"/>
  <c r="B21" i="7"/>
  <c r="N8" i="7"/>
  <c r="P35" i="3"/>
  <c r="P30" i="3"/>
  <c r="O23" i="6" l="1"/>
  <c r="O24" i="6" s="1"/>
  <c r="O63" i="4"/>
  <c r="O62" i="4"/>
  <c r="O4" i="7" s="1"/>
  <c r="O8" i="7" s="1"/>
  <c r="N11" i="7"/>
  <c r="N17" i="7"/>
  <c r="N14" i="7"/>
  <c r="P31" i="3"/>
  <c r="Q20" i="3"/>
  <c r="Q6" i="3"/>
  <c r="Q7" i="3" s="1"/>
  <c r="Q9" i="3" s="1"/>
  <c r="Q13" i="3" s="1"/>
  <c r="P36" i="3"/>
  <c r="P37" i="3" s="1"/>
  <c r="P4" i="4"/>
  <c r="P6" i="4" s="1"/>
  <c r="P8" i="4" s="1"/>
  <c r="Q14" i="3"/>
  <c r="Q16" i="3" s="1"/>
  <c r="O32" i="6" l="1"/>
  <c r="O35" i="6" s="1"/>
  <c r="O36" i="6" s="1"/>
  <c r="O37" i="6" s="1"/>
  <c r="O38" i="6" s="1"/>
  <c r="O34" i="6"/>
  <c r="O17" i="7"/>
  <c r="O14" i="7"/>
  <c r="N15" i="7"/>
  <c r="B26" i="8"/>
  <c r="B46" i="8" s="1"/>
  <c r="N12" i="7"/>
  <c r="D26" i="8"/>
  <c r="D46" i="8" s="1"/>
  <c r="O10" i="7"/>
  <c r="O11" i="7" s="1"/>
  <c r="N18" i="7"/>
  <c r="C26" i="8"/>
  <c r="C46" i="8" s="1"/>
  <c r="B22" i="7"/>
  <c r="Q17" i="3"/>
  <c r="Q23" i="3" s="1"/>
  <c r="Q17" i="5"/>
  <c r="Q18" i="5" s="1"/>
  <c r="P39" i="3"/>
  <c r="P19" i="4"/>
  <c r="P9" i="6" s="1"/>
  <c r="P3" i="6"/>
  <c r="P46" i="3"/>
  <c r="P20" i="5" s="1"/>
  <c r="P22" i="5" s="1"/>
  <c r="P23" i="5" s="1"/>
  <c r="P41" i="3"/>
  <c r="P10" i="4"/>
  <c r="P9" i="4"/>
  <c r="B30" i="8" l="1"/>
  <c r="C30" i="8"/>
  <c r="D30" i="8"/>
  <c r="O12" i="7"/>
  <c r="P10" i="7"/>
  <c r="O18" i="7"/>
  <c r="O15" i="7"/>
  <c r="P14" i="4"/>
  <c r="P26" i="4" s="1"/>
  <c r="Q24" i="3"/>
  <c r="Q28" i="3"/>
  <c r="Q34" i="3" s="1"/>
  <c r="Q27" i="3"/>
  <c r="Q33" i="3" s="1"/>
  <c r="Q26" i="3"/>
  <c r="R22" i="3"/>
  <c r="R11" i="3"/>
  <c r="R12" i="3" s="1"/>
  <c r="Q3" i="4"/>
  <c r="P40" i="3"/>
  <c r="P4" i="6"/>
  <c r="P7" i="6" l="1"/>
  <c r="P11" i="6" s="1"/>
  <c r="P23" i="4"/>
  <c r="P6" i="5"/>
  <c r="P5" i="5"/>
  <c r="Q29" i="3"/>
  <c r="Q5" i="4"/>
  <c r="Q7" i="4" s="1"/>
  <c r="Q16" i="4"/>
  <c r="Q17" i="4" s="1"/>
  <c r="Q8" i="6" s="1"/>
  <c r="Q21" i="4"/>
  <c r="Q10" i="6" s="1"/>
  <c r="P47" i="3"/>
  <c r="P48" i="3" s="1"/>
  <c r="P42" i="3"/>
  <c r="P43" i="3" s="1"/>
  <c r="P44" i="3" s="1"/>
  <c r="P8" i="5"/>
  <c r="P5" i="6"/>
  <c r="P3" i="7"/>
  <c r="P12" i="6" l="1"/>
  <c r="P13" i="6" s="1"/>
  <c r="P9" i="5"/>
  <c r="P10" i="5" s="1"/>
  <c r="P11" i="5" s="1"/>
  <c r="P25" i="4"/>
  <c r="P3" i="5"/>
  <c r="P4" i="5"/>
  <c r="P60" i="4"/>
  <c r="P24" i="4"/>
  <c r="Q30" i="3"/>
  <c r="Q35" i="3"/>
  <c r="P63" i="4" l="1"/>
  <c r="P23" i="6"/>
  <c r="P24" i="6" s="1"/>
  <c r="P62" i="4"/>
  <c r="P4" i="7" s="1"/>
  <c r="P8" i="7" s="1"/>
  <c r="R6" i="3"/>
  <c r="R7" i="3" s="1"/>
  <c r="R9" i="3" s="1"/>
  <c r="R13" i="3" s="1"/>
  <c r="Q31" i="3"/>
  <c r="Q36" i="3"/>
  <c r="Q37" i="3" s="1"/>
  <c r="R20" i="3"/>
  <c r="Q4" i="4"/>
  <c r="Q6" i="4" s="1"/>
  <c r="Q8" i="4" s="1"/>
  <c r="R14" i="3"/>
  <c r="R16" i="3" s="1"/>
  <c r="P34" i="6" l="1"/>
  <c r="P32" i="6"/>
  <c r="P35" i="6" s="1"/>
  <c r="P36" i="6" s="1"/>
  <c r="P37" i="6" s="1"/>
  <c r="P38" i="6" s="1"/>
  <c r="P11" i="7"/>
  <c r="P14" i="7"/>
  <c r="P17" i="7"/>
  <c r="R17" i="5"/>
  <c r="R18" i="5" s="1"/>
  <c r="R17" i="3"/>
  <c r="R23" i="3" s="1"/>
  <c r="Q19" i="4"/>
  <c r="Q9" i="6" s="1"/>
  <c r="Q39" i="3"/>
  <c r="Q41" i="3"/>
  <c r="Q46" i="3"/>
  <c r="Q20" i="5" s="1"/>
  <c r="Q22" i="5" s="1"/>
  <c r="Q23" i="5" s="1"/>
  <c r="Q3" i="6"/>
  <c r="Q9" i="4"/>
  <c r="Q10" i="4"/>
  <c r="P15" i="7" l="1"/>
  <c r="P12" i="7"/>
  <c r="P18" i="7"/>
  <c r="Q10" i="7"/>
  <c r="R28" i="3"/>
  <c r="R34" i="3" s="1"/>
  <c r="R27" i="3"/>
  <c r="R33" i="3" s="1"/>
  <c r="R24" i="3"/>
  <c r="S22" i="3"/>
  <c r="S11" i="3"/>
  <c r="S12" i="3" s="1"/>
  <c r="R3" i="4"/>
  <c r="R26" i="3"/>
  <c r="Q40" i="3"/>
  <c r="Q4" i="6"/>
  <c r="Q14" i="4"/>
  <c r="R16" i="4" l="1"/>
  <c r="R17" i="4" s="1"/>
  <c r="R8" i="6" s="1"/>
  <c r="R21" i="4"/>
  <c r="R10" i="6" s="1"/>
  <c r="R29" i="3"/>
  <c r="R5" i="4"/>
  <c r="R7" i="4" s="1"/>
  <c r="Q3" i="7"/>
  <c r="Q42" i="3"/>
  <c r="Q47" i="3"/>
  <c r="Q48" i="3" s="1"/>
  <c r="Q8" i="5"/>
  <c r="Q5" i="6"/>
  <c r="Q7" i="6"/>
  <c r="Q11" i="6" s="1"/>
  <c r="Q23" i="4"/>
  <c r="Q26" i="4"/>
  <c r="Q12" i="6" l="1"/>
  <c r="Q13" i="6" s="1"/>
  <c r="R30" i="3"/>
  <c r="R35" i="3"/>
  <c r="Q5" i="7"/>
  <c r="Q43" i="3"/>
  <c r="Q44" i="3" s="1"/>
  <c r="Q24" i="4"/>
  <c r="Q4" i="5"/>
  <c r="Q3" i="5"/>
  <c r="Q25" i="4"/>
  <c r="Q9" i="5"/>
  <c r="Q10" i="5" s="1"/>
  <c r="Q11" i="5" s="1"/>
  <c r="Q60" i="4"/>
  <c r="Q5" i="5"/>
  <c r="Q6" i="5"/>
  <c r="R4" i="4" l="1"/>
  <c r="R6" i="4" s="1"/>
  <c r="R8" i="4" s="1"/>
  <c r="R36" i="3"/>
  <c r="R37" i="3" s="1"/>
  <c r="S20" i="3"/>
  <c r="S6" i="3"/>
  <c r="S7" i="3" s="1"/>
  <c r="S9" i="3" s="1"/>
  <c r="S13" i="3" s="1"/>
  <c r="R31" i="3"/>
  <c r="S14" i="3"/>
  <c r="S16" i="3" s="1"/>
  <c r="Q23" i="6"/>
  <c r="Q24" i="6" s="1"/>
  <c r="Q63" i="4"/>
  <c r="Q62" i="4"/>
  <c r="Q4" i="7" s="1"/>
  <c r="R9" i="4" l="1"/>
  <c r="R10" i="4"/>
  <c r="R39" i="3"/>
  <c r="R46" i="3"/>
  <c r="R20" i="5" s="1"/>
  <c r="R22" i="5" s="1"/>
  <c r="R23" i="5" s="1"/>
  <c r="R41" i="3"/>
  <c r="R19" i="4"/>
  <c r="R9" i="6" s="1"/>
  <c r="R3" i="6"/>
  <c r="S17" i="3"/>
  <c r="S23" i="3" s="1"/>
  <c r="S17" i="5"/>
  <c r="S18" i="5" s="1"/>
  <c r="Q32" i="6"/>
  <c r="Q35" i="6" s="1"/>
  <c r="Q34" i="6"/>
  <c r="R40" i="3" l="1"/>
  <c r="R4" i="6"/>
  <c r="S3" i="4"/>
  <c r="S24" i="3"/>
  <c r="T11" i="3"/>
  <c r="T12" i="3" s="1"/>
  <c r="T22" i="3"/>
  <c r="S26" i="3"/>
  <c r="S28" i="3"/>
  <c r="S34" i="3" s="1"/>
  <c r="S27" i="3"/>
  <c r="Q36" i="6"/>
  <c r="Q37" i="6" s="1"/>
  <c r="R14" i="4"/>
  <c r="Q6" i="7" l="1"/>
  <c r="Q8" i="7" s="1"/>
  <c r="Q38" i="6"/>
  <c r="R8" i="5"/>
  <c r="R47" i="3"/>
  <c r="R48" i="3" s="1"/>
  <c r="R5" i="6"/>
  <c r="R3" i="7"/>
  <c r="R42" i="3"/>
  <c r="R43" i="3" s="1"/>
  <c r="R44" i="3" s="1"/>
  <c r="S16" i="4"/>
  <c r="S17" i="4" s="1"/>
  <c r="S8" i="6" s="1"/>
  <c r="S21" i="4"/>
  <c r="S10" i="6" s="1"/>
  <c r="S29" i="3"/>
  <c r="S5" i="4"/>
  <c r="S7" i="4" s="1"/>
  <c r="R7" i="6"/>
  <c r="R11" i="6" s="1"/>
  <c r="R26" i="4"/>
  <c r="R23" i="4"/>
  <c r="S33" i="3"/>
  <c r="Q17" i="7" l="1"/>
  <c r="Q14" i="7"/>
  <c r="Q11" i="7"/>
  <c r="R6" i="5"/>
  <c r="R5" i="5"/>
  <c r="R9" i="5"/>
  <c r="R10" i="5" s="1"/>
  <c r="R11" i="5" s="1"/>
  <c r="R60" i="4"/>
  <c r="R4" i="5"/>
  <c r="R24" i="4"/>
  <c r="R3" i="5"/>
  <c r="R25" i="4"/>
  <c r="R12" i="6"/>
  <c r="R13" i="6" s="1"/>
  <c r="S35" i="3"/>
  <c r="S30" i="3"/>
  <c r="Q15" i="7" l="1"/>
  <c r="R10" i="7"/>
  <c r="Q18" i="7"/>
  <c r="Q12" i="7"/>
  <c r="R62" i="4"/>
  <c r="R4" i="7" s="1"/>
  <c r="R8" i="7" s="1"/>
  <c r="R23" i="6"/>
  <c r="R24" i="6" s="1"/>
  <c r="R63" i="4"/>
  <c r="S4" i="4"/>
  <c r="S6" i="4" s="1"/>
  <c r="S8" i="4" s="1"/>
  <c r="T14" i="3"/>
  <c r="T16" i="3" s="1"/>
  <c r="T20" i="3"/>
  <c r="T6" i="3"/>
  <c r="T7" i="3" s="1"/>
  <c r="T9" i="3" s="1"/>
  <c r="T13" i="3" s="1"/>
  <c r="S31" i="3"/>
  <c r="S36" i="3"/>
  <c r="S37" i="3" s="1"/>
  <c r="R11" i="7" l="1"/>
  <c r="R14" i="7"/>
  <c r="R17" i="7"/>
  <c r="R32" i="6"/>
  <c r="R35" i="6" s="1"/>
  <c r="R36" i="6" s="1"/>
  <c r="R37" i="6" s="1"/>
  <c r="R38" i="6" s="1"/>
  <c r="R34" i="6"/>
  <c r="S10" i="4"/>
  <c r="S9" i="4"/>
  <c r="T17" i="3"/>
  <c r="T23" i="3" s="1"/>
  <c r="T17" i="5"/>
  <c r="T18" i="5" s="1"/>
  <c r="S19" i="4"/>
  <c r="S9" i="6" s="1"/>
  <c r="S41" i="3"/>
  <c r="S39" i="3"/>
  <c r="S46" i="3"/>
  <c r="S20" i="5" s="1"/>
  <c r="S22" i="5" s="1"/>
  <c r="S23" i="5" s="1"/>
  <c r="S3" i="6"/>
  <c r="R15" i="7" l="1"/>
  <c r="S14" i="4"/>
  <c r="R12" i="7"/>
  <c r="S10" i="7"/>
  <c r="R18" i="7"/>
  <c r="T24" i="3"/>
  <c r="U11" i="3"/>
  <c r="U12" i="3" s="1"/>
  <c r="T27" i="3"/>
  <c r="T26" i="3"/>
  <c r="U22" i="3"/>
  <c r="T28" i="3"/>
  <c r="T34" i="3" s="1"/>
  <c r="T3" i="4"/>
  <c r="S40" i="3"/>
  <c r="S4" i="6"/>
  <c r="S23" i="4" l="1"/>
  <c r="S4" i="5" s="1"/>
  <c r="S7" i="6"/>
  <c r="S11" i="6" s="1"/>
  <c r="S26" i="4"/>
  <c r="T29" i="3"/>
  <c r="T5" i="4"/>
  <c r="T7" i="4" s="1"/>
  <c r="T16" i="4"/>
  <c r="T17" i="4" s="1"/>
  <c r="T8" i="6" s="1"/>
  <c r="T21" i="4"/>
  <c r="T10" i="6" s="1"/>
  <c r="S47" i="3"/>
  <c r="S48" i="3" s="1"/>
  <c r="S42" i="3"/>
  <c r="S43" i="3" s="1"/>
  <c r="S44" i="3" s="1"/>
  <c r="S5" i="6"/>
  <c r="S3" i="7"/>
  <c r="S8" i="5"/>
  <c r="T33" i="3"/>
  <c r="S5" i="5" l="1"/>
  <c r="S6" i="5"/>
  <c r="S60" i="4"/>
  <c r="S25" i="4"/>
  <c r="S9" i="5"/>
  <c r="S10" i="5" s="1"/>
  <c r="S11" i="5" s="1"/>
  <c r="S3" i="5"/>
  <c r="S24" i="4"/>
  <c r="S12" i="6"/>
  <c r="S13" i="6" s="1"/>
  <c r="T35" i="3"/>
  <c r="T30" i="3"/>
  <c r="S63" i="4" l="1"/>
  <c r="S23" i="6"/>
  <c r="S24" i="6" s="1"/>
  <c r="S62" i="4"/>
  <c r="S4" i="7" s="1"/>
  <c r="S8" i="7" s="1"/>
  <c r="T36" i="3"/>
  <c r="T37" i="3" s="1"/>
  <c r="U6" i="3"/>
  <c r="U7" i="3" s="1"/>
  <c r="U9" i="3" s="1"/>
  <c r="U13" i="3" s="1"/>
  <c r="T4" i="4"/>
  <c r="T6" i="4" s="1"/>
  <c r="T8" i="4" s="1"/>
  <c r="U20" i="3"/>
  <c r="U14" i="3"/>
  <c r="U16" i="3" s="1"/>
  <c r="T31" i="3"/>
  <c r="S17" i="7" l="1"/>
  <c r="S14" i="7"/>
  <c r="S11" i="7"/>
  <c r="S34" i="6"/>
  <c r="S32" i="6"/>
  <c r="S35" i="6" s="1"/>
  <c r="S36" i="6" s="1"/>
  <c r="S37" i="6" s="1"/>
  <c r="S38" i="6" s="1"/>
  <c r="T39" i="3"/>
  <c r="T19" i="4"/>
  <c r="T9" i="6" s="1"/>
  <c r="T41" i="3"/>
  <c r="T3" i="6"/>
  <c r="T46" i="3"/>
  <c r="T20" i="5" s="1"/>
  <c r="T22" i="5" s="1"/>
  <c r="T23" i="5" s="1"/>
  <c r="U17" i="5"/>
  <c r="U18" i="5" s="1"/>
  <c r="U17" i="3"/>
  <c r="U23" i="3" s="1"/>
  <c r="T10" i="4"/>
  <c r="T9" i="4"/>
  <c r="T14" i="4" l="1"/>
  <c r="S15" i="7"/>
  <c r="S18" i="7"/>
  <c r="S12" i="7"/>
  <c r="T10" i="7"/>
  <c r="T4" i="6"/>
  <c r="T40" i="3"/>
  <c r="V22" i="3"/>
  <c r="U28" i="3"/>
  <c r="U24" i="3"/>
  <c r="V11" i="3"/>
  <c r="V12" i="3" s="1"/>
  <c r="U3" i="4"/>
  <c r="U26" i="3"/>
  <c r="U27" i="3"/>
  <c r="U33" i="3" s="1"/>
  <c r="T7" i="6" l="1"/>
  <c r="T11" i="6" s="1"/>
  <c r="T23" i="4"/>
  <c r="T26" i="4"/>
  <c r="T5" i="6"/>
  <c r="T47" i="3"/>
  <c r="T48" i="3" s="1"/>
  <c r="T8" i="5"/>
  <c r="T3" i="7"/>
  <c r="T42" i="3"/>
  <c r="U21" i="4"/>
  <c r="U10" i="6" s="1"/>
  <c r="U16" i="4"/>
  <c r="U17" i="4" s="1"/>
  <c r="U8" i="6" s="1"/>
  <c r="U5" i="4"/>
  <c r="U7" i="4" s="1"/>
  <c r="U29" i="3"/>
  <c r="U34" i="3"/>
  <c r="T5" i="5" l="1"/>
  <c r="T6" i="5"/>
  <c r="T12" i="6"/>
  <c r="T13" i="6" s="1"/>
  <c r="T4" i="5"/>
  <c r="T24" i="4"/>
  <c r="T9" i="5"/>
  <c r="T10" i="5" s="1"/>
  <c r="T11" i="5" s="1"/>
  <c r="T60" i="4"/>
  <c r="T25" i="4"/>
  <c r="T3" i="5"/>
  <c r="T5" i="7"/>
  <c r="T43" i="3"/>
  <c r="T44" i="3" s="1"/>
  <c r="U35" i="3"/>
  <c r="U30" i="3"/>
  <c r="T23" i="6" l="1"/>
  <c r="T24" i="6" s="1"/>
  <c r="T62" i="4"/>
  <c r="T4" i="7" s="1"/>
  <c r="T63" i="4"/>
  <c r="U36" i="3"/>
  <c r="U37" i="3" s="1"/>
  <c r="V14" i="3"/>
  <c r="V16" i="3" s="1"/>
  <c r="U4" i="4"/>
  <c r="U6" i="4" s="1"/>
  <c r="U8" i="4" s="1"/>
  <c r="U31" i="3"/>
  <c r="V20" i="3"/>
  <c r="V6" i="3"/>
  <c r="V7" i="3" s="1"/>
  <c r="V9" i="3" s="1"/>
  <c r="V13" i="3" s="1"/>
  <c r="V17" i="5" s="1"/>
  <c r="V18" i="5" s="1"/>
  <c r="T32" i="6" l="1"/>
  <c r="T35" i="6" s="1"/>
  <c r="T34" i="6"/>
  <c r="U3" i="6"/>
  <c r="U46" i="3"/>
  <c r="U20" i="5" s="1"/>
  <c r="U22" i="5" s="1"/>
  <c r="U23" i="5" s="1"/>
  <c r="U41" i="3"/>
  <c r="U39" i="3"/>
  <c r="U19" i="4"/>
  <c r="U9" i="6" s="1"/>
  <c r="U10" i="4"/>
  <c r="U9" i="4"/>
  <c r="V17" i="3"/>
  <c r="V23" i="3" s="1"/>
  <c r="T36" i="6" l="1"/>
  <c r="T37" i="6" s="1"/>
  <c r="U14" i="4"/>
  <c r="U40" i="3"/>
  <c r="U4" i="6"/>
  <c r="V28" i="3"/>
  <c r="V34" i="3" s="1"/>
  <c r="W11" i="3"/>
  <c r="W12" i="3" s="1"/>
  <c r="V26" i="3"/>
  <c r="V27" i="3"/>
  <c r="W22" i="3"/>
  <c r="V24" i="3"/>
  <c r="V3" i="4"/>
  <c r="T6" i="7" l="1"/>
  <c r="T8" i="7" s="1"/>
  <c r="T38" i="6"/>
  <c r="U7" i="6"/>
  <c r="U11" i="6" s="1"/>
  <c r="U26" i="4"/>
  <c r="U23" i="4"/>
  <c r="U42" i="3"/>
  <c r="U43" i="3" s="1"/>
  <c r="U44" i="3" s="1"/>
  <c r="U3" i="7"/>
  <c r="U8" i="5"/>
  <c r="U5" i="6"/>
  <c r="U47" i="3"/>
  <c r="U48" i="3" s="1"/>
  <c r="V29" i="3"/>
  <c r="V5" i="4"/>
  <c r="V7" i="4" s="1"/>
  <c r="V21" i="4"/>
  <c r="V10" i="6" s="1"/>
  <c r="V16" i="4"/>
  <c r="V17" i="4" s="1"/>
  <c r="V8" i="6" s="1"/>
  <c r="V33" i="3"/>
  <c r="T14" i="7" l="1"/>
  <c r="T11" i="7"/>
  <c r="T17" i="7"/>
  <c r="U12" i="6"/>
  <c r="U13" i="6" s="1"/>
  <c r="U6" i="5"/>
  <c r="U5" i="5"/>
  <c r="U25" i="4"/>
  <c r="U24" i="4"/>
  <c r="U60" i="4"/>
  <c r="U9" i="5"/>
  <c r="U10" i="5" s="1"/>
  <c r="U11" i="5" s="1"/>
  <c r="U3" i="5"/>
  <c r="U4" i="5"/>
  <c r="V35" i="3"/>
  <c r="V30" i="3"/>
  <c r="T15" i="7" l="1"/>
  <c r="U10" i="7"/>
  <c r="T18" i="7"/>
  <c r="T12" i="7"/>
  <c r="U23" i="6"/>
  <c r="U24" i="6" s="1"/>
  <c r="U62" i="4"/>
  <c r="U4" i="7" s="1"/>
  <c r="U8" i="7" s="1"/>
  <c r="U63" i="4"/>
  <c r="W14" i="3"/>
  <c r="W16" i="3" s="1"/>
  <c r="V36" i="3"/>
  <c r="V37" i="3" s="1"/>
  <c r="V4" i="4"/>
  <c r="V6" i="4" s="1"/>
  <c r="V8" i="4" s="1"/>
  <c r="W6" i="3"/>
  <c r="W7" i="3" s="1"/>
  <c r="W9" i="3" s="1"/>
  <c r="W13" i="3" s="1"/>
  <c r="W20" i="3"/>
  <c r="V31" i="3"/>
  <c r="U11" i="7" l="1"/>
  <c r="U14" i="7"/>
  <c r="U17" i="7"/>
  <c r="U34" i="6"/>
  <c r="U32" i="6"/>
  <c r="U35" i="6" s="1"/>
  <c r="U36" i="6" s="1"/>
  <c r="U37" i="6" s="1"/>
  <c r="U38" i="6" s="1"/>
  <c r="V46" i="3"/>
  <c r="V20" i="5" s="1"/>
  <c r="V22" i="5" s="1"/>
  <c r="V23" i="5" s="1"/>
  <c r="V3" i="6"/>
  <c r="V41" i="3"/>
  <c r="V39" i="3"/>
  <c r="V19" i="4"/>
  <c r="V9" i="6" s="1"/>
  <c r="V9" i="4"/>
  <c r="V10" i="4"/>
  <c r="W17" i="3"/>
  <c r="W23" i="3" s="1"/>
  <c r="W17" i="5"/>
  <c r="W18" i="5" s="1"/>
  <c r="U15" i="7" l="1"/>
  <c r="U12" i="7"/>
  <c r="U18" i="7"/>
  <c r="V10" i="7"/>
  <c r="V4" i="6"/>
  <c r="V40" i="3"/>
  <c r="W26" i="3"/>
  <c r="W28" i="3"/>
  <c r="W34" i="3" s="1"/>
  <c r="X22" i="3"/>
  <c r="X11" i="3"/>
  <c r="X12" i="3" s="1"/>
  <c r="W27" i="3"/>
  <c r="W33" i="3" s="1"/>
  <c r="W3" i="4"/>
  <c r="W24" i="3"/>
  <c r="V14" i="4"/>
  <c r="V8" i="5" l="1"/>
  <c r="V42" i="3"/>
  <c r="V43" i="3" s="1"/>
  <c r="V44" i="3" s="1"/>
  <c r="V47" i="3"/>
  <c r="V48" i="3" s="1"/>
  <c r="V3" i="7"/>
  <c r="V5" i="6"/>
  <c r="W29" i="3"/>
  <c r="W5" i="4"/>
  <c r="W7" i="4" s="1"/>
  <c r="W16" i="4"/>
  <c r="W17" i="4" s="1"/>
  <c r="W8" i="6" s="1"/>
  <c r="W21" i="4"/>
  <c r="W10" i="6" s="1"/>
  <c r="V23" i="4"/>
  <c r="V7" i="6"/>
  <c r="V11" i="6" s="1"/>
  <c r="V26" i="4"/>
  <c r="W30" i="3" l="1"/>
  <c r="W35" i="3"/>
  <c r="V3" i="5"/>
  <c r="V25" i="4"/>
  <c r="V9" i="5"/>
  <c r="V10" i="5" s="1"/>
  <c r="V11" i="5" s="1"/>
  <c r="V4" i="5"/>
  <c r="V60" i="4"/>
  <c r="V24" i="4"/>
  <c r="V6" i="5"/>
  <c r="V5" i="5"/>
  <c r="V12" i="6"/>
  <c r="V13" i="6" s="1"/>
  <c r="W4" i="4" l="1"/>
  <c r="W6" i="4" s="1"/>
  <c r="W8" i="4" s="1"/>
  <c r="X14" i="3"/>
  <c r="X16" i="3" s="1"/>
  <c r="W31" i="3"/>
  <c r="X20" i="3"/>
  <c r="W36" i="3"/>
  <c r="W37" i="3" s="1"/>
  <c r="X6" i="3"/>
  <c r="X7" i="3" s="1"/>
  <c r="X9" i="3" s="1"/>
  <c r="X13" i="3" s="1"/>
  <c r="X17" i="5" s="1"/>
  <c r="X18" i="5" s="1"/>
  <c r="V23" i="6"/>
  <c r="V24" i="6" s="1"/>
  <c r="V62" i="4"/>
  <c r="V4" i="7" s="1"/>
  <c r="V8" i="7" s="1"/>
  <c r="V63" i="4"/>
  <c r="X17" i="3" l="1"/>
  <c r="X23" i="3" s="1"/>
  <c r="V32" i="6"/>
  <c r="V35" i="6" s="1"/>
  <c r="V36" i="6" s="1"/>
  <c r="V37" i="6" s="1"/>
  <c r="V38" i="6" s="1"/>
  <c r="V34" i="6"/>
  <c r="W10" i="4"/>
  <c r="W9" i="4"/>
  <c r="W39" i="3"/>
  <c r="W19" i="4"/>
  <c r="W9" i="6" s="1"/>
  <c r="W41" i="3"/>
  <c r="W3" i="6"/>
  <c r="W46" i="3"/>
  <c r="W20" i="5" s="1"/>
  <c r="W22" i="5" s="1"/>
  <c r="W23" i="5" s="1"/>
  <c r="V11" i="7"/>
  <c r="V17" i="7"/>
  <c r="V14" i="7"/>
  <c r="W14" i="4" l="1"/>
  <c r="V15" i="7"/>
  <c r="Y22" i="3"/>
  <c r="X26" i="3"/>
  <c r="X5" i="4" s="1"/>
  <c r="X7" i="4" s="1"/>
  <c r="X27" i="3"/>
  <c r="X33" i="3" s="1"/>
  <c r="X3" i="4"/>
  <c r="X24" i="3"/>
  <c r="X28" i="3"/>
  <c r="Y11" i="3"/>
  <c r="Y12" i="3" s="1"/>
  <c r="V12" i="7"/>
  <c r="W10" i="7"/>
  <c r="V18" i="7"/>
  <c r="W4" i="6"/>
  <c r="W40" i="3"/>
  <c r="W23" i="4" l="1"/>
  <c r="W9" i="5" s="1"/>
  <c r="W26" i="4"/>
  <c r="W7" i="6"/>
  <c r="W11" i="6" s="1"/>
  <c r="X21" i="4"/>
  <c r="X10" i="6" s="1"/>
  <c r="X16" i="4"/>
  <c r="X17" i="4" s="1"/>
  <c r="X8" i="6" s="1"/>
  <c r="X34" i="3"/>
  <c r="X29" i="3"/>
  <c r="W47" i="3"/>
  <c r="W48" i="3" s="1"/>
  <c r="W42" i="3"/>
  <c r="W8" i="5"/>
  <c r="W5" i="6"/>
  <c r="W3" i="7"/>
  <c r="W6" i="5" l="1"/>
  <c r="W5" i="5"/>
  <c r="W12" i="6"/>
  <c r="W13" i="6" s="1"/>
  <c r="W4" i="5"/>
  <c r="W3" i="5"/>
  <c r="W25" i="4"/>
  <c r="W24" i="4"/>
  <c r="W60" i="4"/>
  <c r="W10" i="5"/>
  <c r="W11" i="5" s="1"/>
  <c r="X35" i="3"/>
  <c r="X30" i="3"/>
  <c r="X31" i="3" s="1"/>
  <c r="W5" i="7"/>
  <c r="W43" i="3"/>
  <c r="W44" i="3" s="1"/>
  <c r="W62" i="4" l="1"/>
  <c r="W4" i="7" s="1"/>
  <c r="W63" i="4"/>
  <c r="W23" i="6"/>
  <c r="W24" i="6" s="1"/>
  <c r="X36" i="3"/>
  <c r="X37" i="3" s="1"/>
  <c r="Y20" i="3"/>
  <c r="Y14" i="3"/>
  <c r="Y16" i="3" s="1"/>
  <c r="X4" i="4"/>
  <c r="X6" i="4" s="1"/>
  <c r="X8" i="4" s="1"/>
  <c r="Y6" i="3"/>
  <c r="Y7" i="3" s="1"/>
  <c r="Y9" i="3" s="1"/>
  <c r="Y13" i="3" s="1"/>
  <c r="W32" i="6" l="1"/>
  <c r="W35" i="6" s="1"/>
  <c r="W36" i="6" s="1"/>
  <c r="W37" i="6" s="1"/>
  <c r="W34" i="6"/>
  <c r="X3" i="6"/>
  <c r="X41" i="3"/>
  <c r="X39" i="3"/>
  <c r="X19" i="4"/>
  <c r="X9" i="6" s="1"/>
  <c r="X46" i="3"/>
  <c r="X20" i="5" s="1"/>
  <c r="X22" i="5" s="1"/>
  <c r="X23" i="5" s="1"/>
  <c r="X10" i="4"/>
  <c r="X9" i="4"/>
  <c r="Y17" i="3"/>
  <c r="Y23" i="3" s="1"/>
  <c r="Y17" i="5"/>
  <c r="Y18" i="5" s="1"/>
  <c r="X4" i="6" l="1"/>
  <c r="X40" i="3"/>
  <c r="Y26" i="3"/>
  <c r="Z22" i="3"/>
  <c r="Y3" i="4"/>
  <c r="Y27" i="3"/>
  <c r="Z11" i="3"/>
  <c r="Z12" i="3" s="1"/>
  <c r="Y24" i="3"/>
  <c r="Y28" i="3"/>
  <c r="Y34" i="3" s="1"/>
  <c r="X14" i="4"/>
  <c r="W6" i="7"/>
  <c r="W8" i="7" s="1"/>
  <c r="W38" i="6"/>
  <c r="X42" i="3" l="1"/>
  <c r="X43" i="3" s="1"/>
  <c r="X44" i="3" s="1"/>
  <c r="X5" i="6"/>
  <c r="X8" i="5"/>
  <c r="X47" i="3"/>
  <c r="X48" i="3" s="1"/>
  <c r="X3" i="7"/>
  <c r="Y29" i="3"/>
  <c r="Y5" i="4"/>
  <c r="Y7" i="4" s="1"/>
  <c r="Y21" i="4"/>
  <c r="Y10" i="6" s="1"/>
  <c r="Y16" i="4"/>
  <c r="Y17" i="4" s="1"/>
  <c r="Y8" i="6" s="1"/>
  <c r="X23" i="4"/>
  <c r="X26" i="4"/>
  <c r="X7" i="6"/>
  <c r="X11" i="6" s="1"/>
  <c r="Y33" i="3"/>
  <c r="W17" i="7"/>
  <c r="W14" i="7"/>
  <c r="W11" i="7"/>
  <c r="Y35" i="3" l="1"/>
  <c r="Y30" i="3"/>
  <c r="X9" i="5"/>
  <c r="X10" i="5" s="1"/>
  <c r="X11" i="5" s="1"/>
  <c r="X25" i="4"/>
  <c r="X60" i="4"/>
  <c r="X4" i="5"/>
  <c r="X24" i="4"/>
  <c r="X3" i="5"/>
  <c r="X6" i="5"/>
  <c r="X5" i="5"/>
  <c r="X12" i="6"/>
  <c r="X13" i="6" s="1"/>
  <c r="W15" i="7"/>
  <c r="W18" i="7"/>
  <c r="W12" i="7"/>
  <c r="X10" i="7"/>
  <c r="Z20" i="3" l="1"/>
  <c r="Z14" i="3"/>
  <c r="Z16" i="3" s="1"/>
  <c r="Y4" i="4"/>
  <c r="Y6" i="4" s="1"/>
  <c r="Y8" i="4" s="1"/>
  <c r="Y36" i="3"/>
  <c r="Y37" i="3" s="1"/>
  <c r="Y31" i="3"/>
  <c r="Z6" i="3"/>
  <c r="Z7" i="3" s="1"/>
  <c r="Z9" i="3" s="1"/>
  <c r="Z13" i="3" s="1"/>
  <c r="X23" i="6"/>
  <c r="X24" i="6" s="1"/>
  <c r="X63" i="4"/>
  <c r="X62" i="4"/>
  <c r="X4" i="7" s="1"/>
  <c r="X8" i="7" s="1"/>
  <c r="Y9" i="4" l="1"/>
  <c r="Y10" i="4"/>
  <c r="Y46" i="3"/>
  <c r="Y20" i="5" s="1"/>
  <c r="Y22" i="5" s="1"/>
  <c r="Y23" i="5" s="1"/>
  <c r="Y3" i="6"/>
  <c r="Y19" i="4"/>
  <c r="Y9" i="6" s="1"/>
  <c r="Y41" i="3"/>
  <c r="Y39" i="3"/>
  <c r="Z17" i="5"/>
  <c r="Z18" i="5" s="1"/>
  <c r="Z17" i="3"/>
  <c r="Z23" i="3" s="1"/>
  <c r="X34" i="6"/>
  <c r="X32" i="6"/>
  <c r="X35" i="6" s="1"/>
  <c r="X36" i="6" s="1"/>
  <c r="X37" i="6" s="1"/>
  <c r="X38" i="6" s="1"/>
  <c r="X17" i="7"/>
  <c r="X14" i="7"/>
  <c r="X11" i="7"/>
  <c r="Y14" i="4" l="1"/>
  <c r="Y40" i="3"/>
  <c r="Y4" i="6"/>
  <c r="C10" i="8"/>
  <c r="AA22" i="3"/>
  <c r="AA11" i="3"/>
  <c r="AA12" i="3" s="1"/>
  <c r="Z24" i="3"/>
  <c r="D10" i="8"/>
  <c r="Z26" i="3"/>
  <c r="Z5" i="4" s="1"/>
  <c r="Z7" i="4" s="1"/>
  <c r="Z27" i="3"/>
  <c r="B10" i="8"/>
  <c r="B54" i="3"/>
  <c r="Z3" i="4"/>
  <c r="Z28" i="3"/>
  <c r="Z34" i="3" s="1"/>
  <c r="X12" i="7"/>
  <c r="Y10" i="7"/>
  <c r="X18" i="7"/>
  <c r="X15" i="7"/>
  <c r="Y23" i="4" l="1"/>
  <c r="Y26" i="4"/>
  <c r="Y5" i="5" s="1"/>
  <c r="Y7" i="6"/>
  <c r="Y11" i="6" s="1"/>
  <c r="Y5" i="6"/>
  <c r="Y42" i="3"/>
  <c r="Y43" i="3" s="1"/>
  <c r="Y44" i="3" s="1"/>
  <c r="Y47" i="3"/>
  <c r="Y48" i="3" s="1"/>
  <c r="Y3" i="7"/>
  <c r="Y8" i="5"/>
  <c r="Z21" i="4"/>
  <c r="Z10" i="6" s="1"/>
  <c r="Z16" i="4"/>
  <c r="Z17" i="4" s="1"/>
  <c r="Z8" i="6" s="1"/>
  <c r="Z33" i="3"/>
  <c r="Z29" i="3"/>
  <c r="Y4" i="5" l="1"/>
  <c r="Y60" i="4"/>
  <c r="Y24" i="4"/>
  <c r="Y9" i="5"/>
  <c r="Y10" i="5" s="1"/>
  <c r="Y11" i="5" s="1"/>
  <c r="Y12" i="6"/>
  <c r="Y13" i="6" s="1"/>
  <c r="Y3" i="5"/>
  <c r="Y25" i="4"/>
  <c r="Y6" i="5"/>
  <c r="Z30" i="3"/>
  <c r="Z35" i="3"/>
  <c r="Y62" i="4" l="1"/>
  <c r="Y4" i="7" s="1"/>
  <c r="Y8" i="7" s="1"/>
  <c r="Y23" i="6"/>
  <c r="Y24" i="6" s="1"/>
  <c r="Y63" i="4"/>
  <c r="AA20" i="3"/>
  <c r="Z36" i="3"/>
  <c r="Z37" i="3" s="1"/>
  <c r="AA6" i="3"/>
  <c r="AA7" i="3" s="1"/>
  <c r="AA9" i="3" s="1"/>
  <c r="AA13" i="3" s="1"/>
  <c r="AA14" i="3"/>
  <c r="AA16" i="3" s="1"/>
  <c r="Z31" i="3"/>
  <c r="Z4" i="4"/>
  <c r="Z6" i="4" s="1"/>
  <c r="Z8" i="4" s="1"/>
  <c r="Y34" i="6" l="1"/>
  <c r="Y32" i="6"/>
  <c r="Y35" i="6" s="1"/>
  <c r="Y36" i="6" s="1"/>
  <c r="Y37" i="6" s="1"/>
  <c r="Y38" i="6" s="1"/>
  <c r="Y11" i="7"/>
  <c r="Y14" i="7"/>
  <c r="Y15" i="7" s="1"/>
  <c r="Y17" i="7"/>
  <c r="Z41" i="3"/>
  <c r="Z46" i="3"/>
  <c r="Z20" i="5" s="1"/>
  <c r="Z22" i="5" s="1"/>
  <c r="Z23" i="5" s="1"/>
  <c r="Z3" i="6"/>
  <c r="Z39" i="3"/>
  <c r="Z19" i="4"/>
  <c r="Z9" i="6" s="1"/>
  <c r="B51" i="3"/>
  <c r="AA17" i="3"/>
  <c r="AA23" i="3" s="1"/>
  <c r="AA17" i="5"/>
  <c r="AA18" i="5" s="1"/>
  <c r="Z9" i="4"/>
  <c r="Z10" i="4"/>
  <c r="Z10" i="7" l="1"/>
  <c r="Y12" i="7"/>
  <c r="Y18" i="7"/>
  <c r="Z4" i="6"/>
  <c r="Z40" i="3"/>
  <c r="B16" i="8"/>
  <c r="B41" i="8" s="1"/>
  <c r="D16" i="8"/>
  <c r="D41" i="8" s="1"/>
  <c r="C16" i="8"/>
  <c r="C41" i="8" s="1"/>
  <c r="AB11" i="3"/>
  <c r="AB12" i="3" s="1"/>
  <c r="AA26" i="3"/>
  <c r="AA3" i="4"/>
  <c r="AA27" i="3"/>
  <c r="AA33" i="3" s="1"/>
  <c r="AA24" i="3"/>
  <c r="AA28" i="3"/>
  <c r="AA34" i="3" s="1"/>
  <c r="AB22" i="3"/>
  <c r="Z14" i="4"/>
  <c r="Z5" i="6" l="1"/>
  <c r="Z47" i="3"/>
  <c r="Z48" i="3" s="1"/>
  <c r="Z42" i="3"/>
  <c r="Z8" i="5"/>
  <c r="Z3" i="7"/>
  <c r="AA29" i="3"/>
  <c r="AA5" i="4"/>
  <c r="AA7" i="4" s="1"/>
  <c r="AA16" i="4"/>
  <c r="AA17" i="4" s="1"/>
  <c r="AA8" i="6" s="1"/>
  <c r="AA21" i="4"/>
  <c r="AA10" i="6" s="1"/>
  <c r="Z7" i="6"/>
  <c r="Z11" i="6" s="1"/>
  <c r="Z23" i="4"/>
  <c r="Z26" i="4"/>
  <c r="B41" i="6" l="1"/>
  <c r="Z12" i="6"/>
  <c r="Z13" i="6" s="1"/>
  <c r="Z5" i="7"/>
  <c r="Z43" i="3"/>
  <c r="Z44" i="3" s="1"/>
  <c r="AA30" i="3"/>
  <c r="AA35" i="3"/>
  <c r="Z60" i="4"/>
  <c r="Z25" i="4"/>
  <c r="Z3" i="5"/>
  <c r="Z4" i="5"/>
  <c r="Z24" i="4"/>
  <c r="Z9" i="5"/>
  <c r="Z10" i="5" s="1"/>
  <c r="Z11" i="5" s="1"/>
  <c r="B26" i="5" s="1"/>
  <c r="Z5" i="5"/>
  <c r="Z6" i="5"/>
  <c r="AB14" i="3" l="1"/>
  <c r="AB16" i="3" s="1"/>
  <c r="AA31" i="3"/>
  <c r="AB6" i="3"/>
  <c r="AB7" i="3" s="1"/>
  <c r="AB9" i="3" s="1"/>
  <c r="AB13" i="3" s="1"/>
  <c r="AB20" i="3"/>
  <c r="AA36" i="3"/>
  <c r="AA37" i="3" s="1"/>
  <c r="AA4" i="4"/>
  <c r="AA6" i="4" s="1"/>
  <c r="AA8" i="4" s="1"/>
  <c r="Z23" i="6"/>
  <c r="Z24" i="6" s="1"/>
  <c r="Z63" i="4"/>
  <c r="Z62" i="4"/>
  <c r="AB17" i="3" l="1"/>
  <c r="AB23" i="3" s="1"/>
  <c r="AB17" i="5"/>
  <c r="AB18" i="5" s="1"/>
  <c r="AA3" i="6"/>
  <c r="AA39" i="3"/>
  <c r="AA46" i="3"/>
  <c r="AA20" i="5" s="1"/>
  <c r="AA22" i="5" s="1"/>
  <c r="AA23" i="5" s="1"/>
  <c r="AA19" i="4"/>
  <c r="AA9" i="6" s="1"/>
  <c r="AA41" i="3"/>
  <c r="AA9" i="4"/>
  <c r="AA10" i="4"/>
  <c r="Z34" i="6"/>
  <c r="B44" i="6" s="1"/>
  <c r="Z32" i="6"/>
  <c r="Z35" i="6" s="1"/>
  <c r="Z4" i="7"/>
  <c r="B66" i="4"/>
  <c r="AA14" i="4" l="1"/>
  <c r="AB3" i="4"/>
  <c r="AB26" i="3"/>
  <c r="AB28" i="3"/>
  <c r="AB34" i="3" s="1"/>
  <c r="AC11" i="3"/>
  <c r="AC12" i="3" s="1"/>
  <c r="AB24" i="3"/>
  <c r="AB27" i="3"/>
  <c r="AC22" i="3"/>
  <c r="AA4" i="6"/>
  <c r="AA40" i="3"/>
  <c r="Z36" i="6"/>
  <c r="Z37" i="6" s="1"/>
  <c r="B22" i="8"/>
  <c r="C22" i="8"/>
  <c r="D22" i="8"/>
  <c r="AA23" i="4" l="1"/>
  <c r="AA7" i="6"/>
  <c r="AA11" i="6" s="1"/>
  <c r="AA26" i="4"/>
  <c r="AB21" i="4"/>
  <c r="AB10" i="6" s="1"/>
  <c r="AB16" i="4"/>
  <c r="AB17" i="4" s="1"/>
  <c r="AB8" i="6" s="1"/>
  <c r="AB5" i="4"/>
  <c r="AB7" i="4" s="1"/>
  <c r="AB29" i="3"/>
  <c r="AA47" i="3"/>
  <c r="AA48" i="3" s="1"/>
  <c r="AA8" i="5"/>
  <c r="AA42" i="3"/>
  <c r="AA43" i="3" s="1"/>
  <c r="AA44" i="3" s="1"/>
  <c r="AA3" i="7"/>
  <c r="AA5" i="6"/>
  <c r="AB33" i="3"/>
  <c r="Z6" i="7"/>
  <c r="Z8" i="7" s="1"/>
  <c r="Z38" i="6"/>
  <c r="B47" i="6" s="1"/>
  <c r="AB35" i="3" l="1"/>
  <c r="AB30" i="3"/>
  <c r="AA12" i="6"/>
  <c r="AA13" i="6" s="1"/>
  <c r="AA9" i="5"/>
  <c r="AA10" i="5" s="1"/>
  <c r="AA11" i="5" s="1"/>
  <c r="AA3" i="5"/>
  <c r="AA60" i="4"/>
  <c r="AA4" i="5"/>
  <c r="AA25" i="4"/>
  <c r="AA24" i="4"/>
  <c r="AA5" i="5"/>
  <c r="AA6" i="5"/>
  <c r="Z14" i="7"/>
  <c r="Z15" i="7" s="1"/>
  <c r="Z17" i="7"/>
  <c r="Z11" i="7"/>
  <c r="AB31" i="3" l="1"/>
  <c r="AB4" i="4"/>
  <c r="AB6" i="4" s="1"/>
  <c r="AB8" i="4" s="1"/>
  <c r="AB36" i="3"/>
  <c r="AB37" i="3" s="1"/>
  <c r="AC20" i="3"/>
  <c r="AC14" i="3"/>
  <c r="AC16" i="3" s="1"/>
  <c r="AC6" i="3"/>
  <c r="AC7" i="3" s="1"/>
  <c r="AC9" i="3" s="1"/>
  <c r="AC13" i="3" s="1"/>
  <c r="AA63" i="4"/>
  <c r="AA23" i="6"/>
  <c r="AA24" i="6" s="1"/>
  <c r="AA62" i="4"/>
  <c r="AA4" i="7" s="1"/>
  <c r="AA8" i="7" s="1"/>
  <c r="B27" i="8"/>
  <c r="B47" i="8" s="1"/>
  <c r="AA10" i="7"/>
  <c r="B23" i="7"/>
  <c r="Z18" i="7"/>
  <c r="C27" i="8"/>
  <c r="C47" i="8" s="1"/>
  <c r="Z12" i="7"/>
  <c r="D27" i="8"/>
  <c r="D47" i="8" s="1"/>
  <c r="AB46" i="3" l="1"/>
  <c r="AB20" i="5" s="1"/>
  <c r="AB22" i="5" s="1"/>
  <c r="AB23" i="5" s="1"/>
  <c r="AB41" i="3"/>
  <c r="AB39" i="3"/>
  <c r="AB19" i="4"/>
  <c r="AB9" i="6" s="1"/>
  <c r="AB3" i="6"/>
  <c r="AC17" i="3"/>
  <c r="AC23" i="3" s="1"/>
  <c r="AC17" i="5"/>
  <c r="AC18" i="5" s="1"/>
  <c r="AB10" i="4"/>
  <c r="AB9" i="4"/>
  <c r="AA32" i="6"/>
  <c r="AA35" i="6" s="1"/>
  <c r="AA36" i="6" s="1"/>
  <c r="AA37" i="6" s="1"/>
  <c r="AA38" i="6" s="1"/>
  <c r="AA34" i="6"/>
  <c r="AA17" i="7"/>
  <c r="AA14" i="7"/>
  <c r="AA15" i="7" s="1"/>
  <c r="AA11" i="7"/>
  <c r="AB4" i="6" l="1"/>
  <c r="AB40" i="3"/>
  <c r="AD22" i="3"/>
  <c r="AC26" i="3"/>
  <c r="AC5" i="4" s="1"/>
  <c r="AC7" i="4" s="1"/>
  <c r="AD11" i="3"/>
  <c r="AD12" i="3" s="1"/>
  <c r="AC27" i="3"/>
  <c r="AC24" i="3"/>
  <c r="AC28" i="3"/>
  <c r="AC34" i="3" s="1"/>
  <c r="AC3" i="4"/>
  <c r="AB14" i="4"/>
  <c r="AA12" i="7"/>
  <c r="AA18" i="7"/>
  <c r="AB10" i="7"/>
  <c r="AB8" i="5" l="1"/>
  <c r="AB5" i="6"/>
  <c r="AB3" i="7"/>
  <c r="AB47" i="3"/>
  <c r="AB48" i="3" s="1"/>
  <c r="AB42" i="3"/>
  <c r="AB43" i="3" s="1"/>
  <c r="AB44" i="3" s="1"/>
  <c r="AC33" i="3"/>
  <c r="AC29" i="3"/>
  <c r="AC21" i="4"/>
  <c r="AC10" i="6" s="1"/>
  <c r="AC16" i="4"/>
  <c r="AC17" i="4" s="1"/>
  <c r="AC8" i="6" s="1"/>
  <c r="AB7" i="6"/>
  <c r="AB11" i="6" s="1"/>
  <c r="AB26" i="4"/>
  <c r="AB23" i="4"/>
  <c r="AB12" i="6" l="1"/>
  <c r="AB13" i="6" s="1"/>
  <c r="AB3" i="5"/>
  <c r="AB6" i="5"/>
  <c r="AB5" i="5"/>
  <c r="AC35" i="3"/>
  <c r="AC30" i="3"/>
  <c r="AB24" i="4"/>
  <c r="AB4" i="5"/>
  <c r="AB60" i="4"/>
  <c r="AB9" i="5"/>
  <c r="AB10" i="5" s="1"/>
  <c r="AB11" i="5" s="1"/>
  <c r="AB25" i="4"/>
  <c r="AC4" i="4" l="1"/>
  <c r="AC6" i="4" s="1"/>
  <c r="AC8" i="4" s="1"/>
  <c r="AD6" i="3"/>
  <c r="AD7" i="3" s="1"/>
  <c r="AD9" i="3" s="1"/>
  <c r="AD13" i="3" s="1"/>
  <c r="AD14" i="3"/>
  <c r="AD16" i="3" s="1"/>
  <c r="AD20" i="3"/>
  <c r="AC31" i="3"/>
  <c r="AC36" i="3"/>
  <c r="AC37" i="3" s="1"/>
  <c r="AB23" i="6"/>
  <c r="AB24" i="6" s="1"/>
  <c r="AB63" i="4"/>
  <c r="AB62" i="4"/>
  <c r="AB4" i="7" s="1"/>
  <c r="AB8" i="7" s="1"/>
  <c r="AD17" i="5" l="1"/>
  <c r="AD18" i="5" s="1"/>
  <c r="AD17" i="3"/>
  <c r="AD23" i="3" s="1"/>
  <c r="AC46" i="3"/>
  <c r="AC20" i="5" s="1"/>
  <c r="AC22" i="5" s="1"/>
  <c r="AC23" i="5" s="1"/>
  <c r="AC41" i="3"/>
  <c r="AC3" i="6"/>
  <c r="AC19" i="4"/>
  <c r="AC9" i="6" s="1"/>
  <c r="AC39" i="3"/>
  <c r="AB34" i="6"/>
  <c r="AB32" i="6"/>
  <c r="AB35" i="6" s="1"/>
  <c r="AB36" i="6" s="1"/>
  <c r="AB37" i="6" s="1"/>
  <c r="AB38" i="6" s="1"/>
  <c r="AC9" i="4"/>
  <c r="AC10" i="4"/>
  <c r="AB17" i="7"/>
  <c r="AB14" i="7"/>
  <c r="AB15" i="7" s="1"/>
  <c r="AB11" i="7"/>
  <c r="AB12" i="7" l="1"/>
  <c r="AB18" i="7"/>
  <c r="AC10" i="7"/>
  <c r="AD27" i="3"/>
  <c r="AD33" i="3" s="1"/>
  <c r="AE11" i="3"/>
  <c r="AE12" i="3" s="1"/>
  <c r="AD24" i="3"/>
  <c r="AD26" i="3"/>
  <c r="AD5" i="4" s="1"/>
  <c r="AD7" i="4" s="1"/>
  <c r="AD28" i="3"/>
  <c r="AE22" i="3"/>
  <c r="AD3" i="4"/>
  <c r="AC40" i="3"/>
  <c r="AC8" i="5" s="1"/>
  <c r="AC4" i="6"/>
  <c r="AC14" i="4"/>
  <c r="AD34" i="3" l="1"/>
  <c r="AD29" i="3"/>
  <c r="AD21" i="4"/>
  <c r="AD10" i="6" s="1"/>
  <c r="AD16" i="4"/>
  <c r="AD17" i="4" s="1"/>
  <c r="AD8" i="6" s="1"/>
  <c r="AC5" i="6"/>
  <c r="AC3" i="7"/>
  <c r="AC42" i="3"/>
  <c r="AC47" i="3"/>
  <c r="AC48" i="3" s="1"/>
  <c r="AC7" i="6"/>
  <c r="AC11" i="6" s="1"/>
  <c r="AC23" i="4"/>
  <c r="AC26" i="4"/>
  <c r="AC12" i="6" l="1"/>
  <c r="AC13" i="6" s="1"/>
  <c r="AD35" i="3"/>
  <c r="AD30" i="3"/>
  <c r="AC5" i="7"/>
  <c r="AC43" i="3"/>
  <c r="AC44" i="3" s="1"/>
  <c r="AC4" i="5"/>
  <c r="AC3" i="5"/>
  <c r="AC25" i="4"/>
  <c r="AC9" i="5"/>
  <c r="AC10" i="5" s="1"/>
  <c r="AC11" i="5" s="1"/>
  <c r="AC24" i="4"/>
  <c r="AC60" i="4"/>
  <c r="AC5" i="5"/>
  <c r="AC6" i="5"/>
  <c r="AE20" i="3" l="1"/>
  <c r="AE6" i="3"/>
  <c r="AE7" i="3" s="1"/>
  <c r="AE9" i="3" s="1"/>
  <c r="AE13" i="3" s="1"/>
  <c r="AD36" i="3"/>
  <c r="AD37" i="3" s="1"/>
  <c r="AD31" i="3"/>
  <c r="AE14" i="3"/>
  <c r="AE16" i="3" s="1"/>
  <c r="AD4" i="4"/>
  <c r="AD6" i="4" s="1"/>
  <c r="AD8" i="4" s="1"/>
  <c r="AC23" i="6"/>
  <c r="AC24" i="6" s="1"/>
  <c r="AC63" i="4"/>
  <c r="AC62" i="4"/>
  <c r="AC4" i="7" s="1"/>
  <c r="AD3" i="6" l="1"/>
  <c r="AD41" i="3"/>
  <c r="AD46" i="3"/>
  <c r="AD20" i="5" s="1"/>
  <c r="AD22" i="5" s="1"/>
  <c r="AD23" i="5" s="1"/>
  <c r="AD39" i="3"/>
  <c r="AD19" i="4"/>
  <c r="AD9" i="6" s="1"/>
  <c r="AE17" i="3"/>
  <c r="AE23" i="3" s="1"/>
  <c r="AE17" i="5"/>
  <c r="AE18" i="5" s="1"/>
  <c r="AD9" i="4"/>
  <c r="AD10" i="4"/>
  <c r="AC32" i="6"/>
  <c r="AC35" i="6" s="1"/>
  <c r="AC34" i="6"/>
  <c r="AD14" i="4" l="1"/>
  <c r="AD4" i="6"/>
  <c r="AD40" i="3"/>
  <c r="AD47" i="3" s="1"/>
  <c r="AD48" i="3" s="1"/>
  <c r="AE27" i="3"/>
  <c r="AE33" i="3" s="1"/>
  <c r="AE24" i="3"/>
  <c r="AF11" i="3"/>
  <c r="AF12" i="3" s="1"/>
  <c r="AE28" i="3"/>
  <c r="AE34" i="3" s="1"/>
  <c r="AE26" i="3"/>
  <c r="AE3" i="4"/>
  <c r="AF22" i="3"/>
  <c r="AC36" i="6"/>
  <c r="AC37" i="6" s="1"/>
  <c r="AD23" i="4" l="1"/>
  <c r="AD26" i="4"/>
  <c r="AD7" i="6"/>
  <c r="AD11" i="6" s="1"/>
  <c r="AD3" i="7"/>
  <c r="AD42" i="3"/>
  <c r="AD43" i="3" s="1"/>
  <c r="AD44" i="3" s="1"/>
  <c r="AD8" i="5"/>
  <c r="AD5" i="6"/>
  <c r="AE5" i="4"/>
  <c r="AE7" i="4" s="1"/>
  <c r="AE29" i="3"/>
  <c r="AE16" i="4"/>
  <c r="AE17" i="4" s="1"/>
  <c r="AE8" i="6" s="1"/>
  <c r="AE21" i="4"/>
  <c r="AE10" i="6" s="1"/>
  <c r="AC6" i="7"/>
  <c r="AC8" i="7" s="1"/>
  <c r="AC38" i="6"/>
  <c r="AD12" i="6" l="1"/>
  <c r="AD13" i="6" s="1"/>
  <c r="AD9" i="5"/>
  <c r="AD10" i="5" s="1"/>
  <c r="AD11" i="5" s="1"/>
  <c r="AD60" i="4"/>
  <c r="AD3" i="5"/>
  <c r="AD24" i="4"/>
  <c r="AD4" i="5"/>
  <c r="AD25" i="4"/>
  <c r="AD6" i="5"/>
  <c r="AD5" i="5"/>
  <c r="AE35" i="3"/>
  <c r="AE30" i="3"/>
  <c r="AC14" i="7"/>
  <c r="AC15" i="7" s="1"/>
  <c r="AC11" i="7"/>
  <c r="AC12" i="7" s="1"/>
  <c r="AC17" i="7"/>
  <c r="AD63" i="4" l="1"/>
  <c r="AD62" i="4"/>
  <c r="AD4" i="7" s="1"/>
  <c r="AD8" i="7" s="1"/>
  <c r="AD23" i="6"/>
  <c r="AD24" i="6" s="1"/>
  <c r="AC18" i="7"/>
  <c r="AD10" i="7"/>
  <c r="AE4" i="4"/>
  <c r="AE6" i="4" s="1"/>
  <c r="AE8" i="4" s="1"/>
  <c r="AF14" i="3"/>
  <c r="AF16" i="3" s="1"/>
  <c r="AE31" i="3"/>
  <c r="AF6" i="3"/>
  <c r="AF7" i="3" s="1"/>
  <c r="AF9" i="3" s="1"/>
  <c r="AF13" i="3" s="1"/>
  <c r="AF20" i="3"/>
  <c r="AE36" i="3"/>
  <c r="AE37" i="3" s="1"/>
  <c r="AD11" i="7" l="1"/>
  <c r="AD14" i="7"/>
  <c r="AD15" i="7" s="1"/>
  <c r="AD17" i="7"/>
  <c r="AD32" i="6"/>
  <c r="AD35" i="6" s="1"/>
  <c r="AD36" i="6" s="1"/>
  <c r="AD37" i="6" s="1"/>
  <c r="AD38" i="6" s="1"/>
  <c r="AD34" i="6"/>
  <c r="AE10" i="4"/>
  <c r="AE9" i="4"/>
  <c r="AF17" i="3"/>
  <c r="AF23" i="3" s="1"/>
  <c r="AF17" i="5"/>
  <c r="AF18" i="5" s="1"/>
  <c r="AE46" i="3"/>
  <c r="AE20" i="5" s="1"/>
  <c r="AE22" i="5" s="1"/>
  <c r="AE23" i="5" s="1"/>
  <c r="AE19" i="4"/>
  <c r="AE9" i="6" s="1"/>
  <c r="AE39" i="3"/>
  <c r="AE3" i="6"/>
  <c r="AE41" i="3"/>
  <c r="AE14" i="4" l="1"/>
  <c r="AE7" i="6" s="1"/>
  <c r="AE11" i="6" s="1"/>
  <c r="AE10" i="7"/>
  <c r="AD18" i="7"/>
  <c r="AD12" i="7"/>
  <c r="AF28" i="3"/>
  <c r="AF34" i="3" s="1"/>
  <c r="AF26" i="3"/>
  <c r="AG11" i="3"/>
  <c r="AG12" i="3" s="1"/>
  <c r="AF24" i="3"/>
  <c r="AG22" i="3"/>
  <c r="AF3" i="4"/>
  <c r="AF27" i="3"/>
  <c r="AF33" i="3" s="1"/>
  <c r="AE4" i="6"/>
  <c r="AE40" i="3"/>
  <c r="AE26" i="4" l="1"/>
  <c r="AE23" i="4"/>
  <c r="AE3" i="7"/>
  <c r="AE42" i="3"/>
  <c r="AE43" i="3" s="1"/>
  <c r="AE44" i="3" s="1"/>
  <c r="AF29" i="3"/>
  <c r="AF5" i="4"/>
  <c r="AF7" i="4" s="1"/>
  <c r="AF21" i="4"/>
  <c r="AF10" i="6" s="1"/>
  <c r="AF16" i="4"/>
  <c r="AF17" i="4" s="1"/>
  <c r="AF8" i="6" s="1"/>
  <c r="AE8" i="5"/>
  <c r="AE5" i="6"/>
  <c r="AE12" i="6" s="1"/>
  <c r="AE13" i="6" s="1"/>
  <c r="AE47" i="3"/>
  <c r="AE48" i="3" s="1"/>
  <c r="AE3" i="5" l="1"/>
  <c r="AE6" i="5"/>
  <c r="AE5" i="5"/>
  <c r="AE25" i="4"/>
  <c r="AE9" i="5"/>
  <c r="AE10" i="5" s="1"/>
  <c r="AE11" i="5" s="1"/>
  <c r="AE4" i="5"/>
  <c r="AE60" i="4"/>
  <c r="AE62" i="4" s="1"/>
  <c r="AE4" i="7" s="1"/>
  <c r="AE8" i="7" s="1"/>
  <c r="AE24" i="4"/>
  <c r="AF35" i="3"/>
  <c r="AF30" i="3"/>
  <c r="AE63" i="4" l="1"/>
  <c r="AE23" i="6"/>
  <c r="AE24" i="6" s="1"/>
  <c r="AG20" i="3"/>
  <c r="AG6" i="3"/>
  <c r="AG7" i="3" s="1"/>
  <c r="AG9" i="3" s="1"/>
  <c r="AG13" i="3" s="1"/>
  <c r="AG17" i="5" s="1"/>
  <c r="AG18" i="5" s="1"/>
  <c r="AF36" i="3"/>
  <c r="AF37" i="3" s="1"/>
  <c r="AF4" i="4"/>
  <c r="AF6" i="4" s="1"/>
  <c r="AF8" i="4" s="1"/>
  <c r="AG14" i="3"/>
  <c r="AG16" i="3" s="1"/>
  <c r="AF31" i="3"/>
  <c r="AE17" i="7"/>
  <c r="AE14" i="7"/>
  <c r="AE15" i="7" s="1"/>
  <c r="AE11" i="7"/>
  <c r="AE34" i="6" l="1"/>
  <c r="AE32" i="6"/>
  <c r="AE35" i="6" s="1"/>
  <c r="AE36" i="6" s="1"/>
  <c r="AE37" i="6" s="1"/>
  <c r="AE38" i="6" s="1"/>
  <c r="AG17" i="3"/>
  <c r="AG23" i="3" s="1"/>
  <c r="AF3" i="6"/>
  <c r="AF39" i="3"/>
  <c r="AF46" i="3"/>
  <c r="AF20" i="5" s="1"/>
  <c r="AF22" i="5" s="1"/>
  <c r="AF23" i="5" s="1"/>
  <c r="AF41" i="3"/>
  <c r="AF19" i="4"/>
  <c r="AF9" i="6" s="1"/>
  <c r="AF9" i="4"/>
  <c r="AF10" i="4"/>
  <c r="AE12" i="7"/>
  <c r="AF10" i="7"/>
  <c r="AE18" i="7"/>
  <c r="AF14" i="4" l="1"/>
  <c r="AH11" i="3"/>
  <c r="AH12" i="3" s="1"/>
  <c r="AH22" i="3"/>
  <c r="AG24" i="3"/>
  <c r="AG3" i="4"/>
  <c r="AG27" i="3"/>
  <c r="AG33" i="3" s="1"/>
  <c r="AG26" i="3"/>
  <c r="AG28" i="3"/>
  <c r="AG34" i="3" s="1"/>
  <c r="AF4" i="6"/>
  <c r="AF40" i="3"/>
  <c r="AF7" i="6" l="1"/>
  <c r="AF11" i="6" s="1"/>
  <c r="AF26" i="4"/>
  <c r="AF23" i="4"/>
  <c r="AG16" i="4"/>
  <c r="AG17" i="4" s="1"/>
  <c r="AG8" i="6" s="1"/>
  <c r="AG21" i="4"/>
  <c r="AG10" i="6" s="1"/>
  <c r="AG5" i="4"/>
  <c r="AG7" i="4" s="1"/>
  <c r="AG29" i="3"/>
  <c r="AF42" i="3"/>
  <c r="AF8" i="5"/>
  <c r="AF47" i="3"/>
  <c r="AF48" i="3" s="1"/>
  <c r="AF3" i="7"/>
  <c r="AF5" i="6"/>
  <c r="AF60" i="4" l="1"/>
  <c r="AF9" i="5"/>
  <c r="AF10" i="5" s="1"/>
  <c r="AF11" i="5" s="1"/>
  <c r="AF12" i="6"/>
  <c r="AF13" i="6" s="1"/>
  <c r="AF5" i="5"/>
  <c r="AF3" i="5"/>
  <c r="AF6" i="5"/>
  <c r="AF25" i="4"/>
  <c r="AF24" i="4"/>
  <c r="AF4" i="5"/>
  <c r="AG35" i="3"/>
  <c r="AG30" i="3"/>
  <c r="AF43" i="3"/>
  <c r="AF44" i="3" s="1"/>
  <c r="AF5" i="7"/>
  <c r="AF23" i="6" l="1"/>
  <c r="AF24" i="6" s="1"/>
  <c r="AF63" i="4"/>
  <c r="AF62" i="4"/>
  <c r="AF4" i="7" s="1"/>
  <c r="AH6" i="3"/>
  <c r="AH7" i="3" s="1"/>
  <c r="AH9" i="3" s="1"/>
  <c r="AH13" i="3" s="1"/>
  <c r="AH20" i="3"/>
  <c r="AG36" i="3"/>
  <c r="AG37" i="3" s="1"/>
  <c r="AH14" i="3"/>
  <c r="AH16" i="3" s="1"/>
  <c r="AG4" i="4"/>
  <c r="AG6" i="4" s="1"/>
  <c r="AG8" i="4" s="1"/>
  <c r="AG31" i="3"/>
  <c r="AF32" i="6" l="1"/>
  <c r="AF35" i="6" s="1"/>
  <c r="AF34" i="6"/>
  <c r="AG3" i="6"/>
  <c r="AG39" i="3"/>
  <c r="AG41" i="3"/>
  <c r="AG19" i="4"/>
  <c r="AG9" i="6" s="1"/>
  <c r="AG46" i="3"/>
  <c r="AG20" i="5" s="1"/>
  <c r="AG22" i="5" s="1"/>
  <c r="AG23" i="5" s="1"/>
  <c r="AG9" i="4"/>
  <c r="AG10" i="4"/>
  <c r="AH17" i="5"/>
  <c r="AH18" i="5" s="1"/>
  <c r="AH17" i="3"/>
  <c r="AH23" i="3" s="1"/>
  <c r="AG14" i="4" l="1"/>
  <c r="AG7" i="6" s="1"/>
  <c r="AG11" i="6" s="1"/>
  <c r="AF36" i="6"/>
  <c r="AF37" i="6" s="1"/>
  <c r="AG4" i="6"/>
  <c r="AG40" i="3"/>
  <c r="AH26" i="3"/>
  <c r="AH3" i="4"/>
  <c r="AI22" i="3"/>
  <c r="AH24" i="3"/>
  <c r="AI11" i="3"/>
  <c r="AI12" i="3" s="1"/>
  <c r="AH27" i="3"/>
  <c r="AH33" i="3" s="1"/>
  <c r="AH28" i="3"/>
  <c r="AH34" i="3" s="1"/>
  <c r="AF6" i="7" l="1"/>
  <c r="AF8" i="7" s="1"/>
  <c r="AF38" i="6"/>
  <c r="AG26" i="4"/>
  <c r="AG23" i="4"/>
  <c r="AG47" i="3"/>
  <c r="AG48" i="3" s="1"/>
  <c r="AG8" i="5"/>
  <c r="AG42" i="3"/>
  <c r="AG43" i="3" s="1"/>
  <c r="AG44" i="3" s="1"/>
  <c r="AG5" i="6"/>
  <c r="AG12" i="6" s="1"/>
  <c r="AG13" i="6" s="1"/>
  <c r="AG3" i="7"/>
  <c r="AH29" i="3"/>
  <c r="AH5" i="4"/>
  <c r="AH7" i="4" s="1"/>
  <c r="AH21" i="4"/>
  <c r="AH10" i="6" s="1"/>
  <c r="AH16" i="4"/>
  <c r="AH17" i="4" s="1"/>
  <c r="AH8" i="6" s="1"/>
  <c r="AF14" i="7" l="1"/>
  <c r="AF15" i="7" s="1"/>
  <c r="AF17" i="7"/>
  <c r="AF11" i="7"/>
  <c r="AG5" i="5"/>
  <c r="AG6" i="5"/>
  <c r="AG9" i="5"/>
  <c r="AG10" i="5" s="1"/>
  <c r="AG11" i="5" s="1"/>
  <c r="AG3" i="5"/>
  <c r="AG24" i="4"/>
  <c r="AG60" i="4"/>
  <c r="AG4" i="5"/>
  <c r="AG25" i="4"/>
  <c r="AH30" i="3"/>
  <c r="AH35" i="3"/>
  <c r="AG10" i="7" l="1"/>
  <c r="AF12" i="7"/>
  <c r="AF18" i="7"/>
  <c r="AG63" i="4"/>
  <c r="AG23" i="6"/>
  <c r="AG24" i="6" s="1"/>
  <c r="AG62" i="4"/>
  <c r="AG4" i="7" s="1"/>
  <c r="AG8" i="7" s="1"/>
  <c r="AI20" i="3"/>
  <c r="AH36" i="3"/>
  <c r="AH37" i="3" s="1"/>
  <c r="AH4" i="4"/>
  <c r="AH6" i="4" s="1"/>
  <c r="AH8" i="4" s="1"/>
  <c r="AI6" i="3"/>
  <c r="AI7" i="3" s="1"/>
  <c r="AI9" i="3" s="1"/>
  <c r="AI13" i="3" s="1"/>
  <c r="AI14" i="3"/>
  <c r="AI16" i="3" s="1"/>
  <c r="AH31" i="3"/>
  <c r="AG34" i="6" l="1"/>
  <c r="AG32" i="6"/>
  <c r="AG35" i="6" s="1"/>
  <c r="AG36" i="6" s="1"/>
  <c r="AG37" i="6" s="1"/>
  <c r="AG38" i="6" s="1"/>
  <c r="AG14" i="7"/>
  <c r="AG15" i="7" s="1"/>
  <c r="AG11" i="7"/>
  <c r="AG17" i="7"/>
  <c r="AH3" i="6"/>
  <c r="AH46" i="3"/>
  <c r="AH20" i="5" s="1"/>
  <c r="AH22" i="5" s="1"/>
  <c r="AH23" i="5" s="1"/>
  <c r="AH41" i="3"/>
  <c r="AH19" i="4"/>
  <c r="AH39" i="3"/>
  <c r="AH10" i="4"/>
  <c r="AH9" i="4"/>
  <c r="AH14" i="4" s="1"/>
  <c r="AI17" i="3"/>
  <c r="AI23" i="3" s="1"/>
  <c r="AI17" i="5"/>
  <c r="AI18" i="5" s="1"/>
  <c r="AH40" i="3" l="1"/>
  <c r="AH4" i="6"/>
  <c r="AG12" i="7"/>
  <c r="AG18" i="7"/>
  <c r="AH10" i="7"/>
  <c r="AH26" i="4"/>
  <c r="AH7" i="6"/>
  <c r="AH9" i="6"/>
  <c r="AH23" i="4"/>
  <c r="AI24" i="3"/>
  <c r="AI26" i="3"/>
  <c r="AI5" i="4" s="1"/>
  <c r="AI7" i="4" s="1"/>
  <c r="AI27" i="3"/>
  <c r="AI3" i="4"/>
  <c r="AI28" i="3"/>
  <c r="AI34" i="3" s="1"/>
  <c r="AJ11" i="3"/>
  <c r="AJ12" i="3" s="1"/>
  <c r="AJ22" i="3"/>
  <c r="AH47" i="3" l="1"/>
  <c r="AH48" i="3" s="1"/>
  <c r="AH42" i="3"/>
  <c r="AH43" i="3" s="1"/>
  <c r="AH44" i="3" s="1"/>
  <c r="AH5" i="6"/>
  <c r="AH8" i="5"/>
  <c r="AH3" i="7"/>
  <c r="AH5" i="5"/>
  <c r="AH6" i="5"/>
  <c r="AH11" i="6"/>
  <c r="AH60" i="4"/>
  <c r="AH24" i="4"/>
  <c r="AH9" i="5"/>
  <c r="AH3" i="5"/>
  <c r="AH4" i="5"/>
  <c r="AH25" i="4"/>
  <c r="AI33" i="3"/>
  <c r="AI29" i="3"/>
  <c r="AI21" i="4"/>
  <c r="AI10" i="6" s="1"/>
  <c r="AI16" i="4"/>
  <c r="AI17" i="4" s="1"/>
  <c r="AI8" i="6" s="1"/>
  <c r="AH12" i="6" l="1"/>
  <c r="AH13" i="6" s="1"/>
  <c r="AH10" i="5"/>
  <c r="AH11" i="5" s="1"/>
  <c r="AH62" i="4"/>
  <c r="AH4" i="7" s="1"/>
  <c r="AH8" i="7" s="1"/>
  <c r="AH14" i="7" s="1"/>
  <c r="AH15" i="7" s="1"/>
  <c r="AH23" i="6"/>
  <c r="AH24" i="6" s="1"/>
  <c r="AH63" i="4"/>
  <c r="AI35" i="3"/>
  <c r="AI30" i="3"/>
  <c r="AH17" i="7" l="1"/>
  <c r="AH11" i="7"/>
  <c r="AH34" i="6"/>
  <c r="AH32" i="6"/>
  <c r="AH35" i="6" s="1"/>
  <c r="AH36" i="6" s="1"/>
  <c r="AH37" i="6" s="1"/>
  <c r="AH38" i="6" s="1"/>
  <c r="AI4" i="4"/>
  <c r="AI6" i="4" s="1"/>
  <c r="AI8" i="4" s="1"/>
  <c r="AI36" i="3"/>
  <c r="AI37" i="3" s="1"/>
  <c r="AJ14" i="3"/>
  <c r="AJ16" i="3" s="1"/>
  <c r="AI31" i="3"/>
  <c r="AJ6" i="3"/>
  <c r="AJ7" i="3" s="1"/>
  <c r="AJ9" i="3" s="1"/>
  <c r="AJ13" i="3" s="1"/>
  <c r="AJ20" i="3"/>
  <c r="AH18" i="7" l="1"/>
  <c r="AH12" i="7"/>
  <c r="AI10" i="7"/>
  <c r="AI19" i="4"/>
  <c r="AI9" i="6" s="1"/>
  <c r="AI3" i="6"/>
  <c r="AI39" i="3"/>
  <c r="AI10" i="4"/>
  <c r="AI9" i="4"/>
  <c r="AI46" i="3"/>
  <c r="AI20" i="5" s="1"/>
  <c r="AI22" i="5" s="1"/>
  <c r="AI23" i="5" s="1"/>
  <c r="AI41" i="3"/>
  <c r="AJ17" i="3"/>
  <c r="AJ23" i="3" s="1"/>
  <c r="AJ17" i="5"/>
  <c r="AJ18" i="5" s="1"/>
  <c r="AI40" i="3" l="1"/>
  <c r="AI4" i="6"/>
  <c r="AJ28" i="3"/>
  <c r="AK11" i="3"/>
  <c r="AK12" i="3" s="1"/>
  <c r="AJ26" i="3"/>
  <c r="AJ5" i="4" s="1"/>
  <c r="AJ7" i="4" s="1"/>
  <c r="AJ27" i="3"/>
  <c r="AJ33" i="3" s="1"/>
  <c r="AI14" i="4"/>
  <c r="AJ3" i="4"/>
  <c r="AK22" i="3"/>
  <c r="AJ24" i="3"/>
  <c r="AI5" i="6" l="1"/>
  <c r="AI47" i="3"/>
  <c r="AI48" i="3" s="1"/>
  <c r="AI3" i="7"/>
  <c r="AI8" i="5"/>
  <c r="AI42" i="3"/>
  <c r="AJ34" i="3"/>
  <c r="AJ29" i="3"/>
  <c r="AI7" i="6"/>
  <c r="AI11" i="6" s="1"/>
  <c r="AI26" i="4"/>
  <c r="AI23" i="4"/>
  <c r="AJ21" i="4"/>
  <c r="AJ10" i="6" s="1"/>
  <c r="AJ16" i="4"/>
  <c r="AJ17" i="4" s="1"/>
  <c r="AJ8" i="6" s="1"/>
  <c r="AI43" i="3" l="1"/>
  <c r="AI44" i="3" s="1"/>
  <c r="AI5" i="7"/>
  <c r="AI12" i="6"/>
  <c r="AI13" i="6" s="1"/>
  <c r="AJ35" i="3"/>
  <c r="AJ30" i="3"/>
  <c r="AI6" i="5"/>
  <c r="AI5" i="5"/>
  <c r="AI25" i="4"/>
  <c r="AI4" i="5"/>
  <c r="AI60" i="4"/>
  <c r="AI24" i="4"/>
  <c r="AI3" i="5"/>
  <c r="AI9" i="5"/>
  <c r="AI10" i="5" s="1"/>
  <c r="AI11" i="5" s="1"/>
  <c r="AI23" i="6" l="1"/>
  <c r="AI24" i="6" s="1"/>
  <c r="AI63" i="4"/>
  <c r="AI62" i="4"/>
  <c r="AI4" i="7" s="1"/>
  <c r="AJ36" i="3"/>
  <c r="AJ37" i="3" s="1"/>
  <c r="AK6" i="3"/>
  <c r="AK7" i="3" s="1"/>
  <c r="AK9" i="3" s="1"/>
  <c r="AK13" i="3" s="1"/>
  <c r="AK20" i="3"/>
  <c r="AJ31" i="3"/>
  <c r="AK14" i="3"/>
  <c r="AK16" i="3" s="1"/>
  <c r="AJ4" i="4"/>
  <c r="AJ6" i="4" s="1"/>
  <c r="AJ8" i="4" s="1"/>
  <c r="AI34" i="6" l="1"/>
  <c r="AI32" i="6"/>
  <c r="AI35" i="6" s="1"/>
  <c r="AJ19" i="4"/>
  <c r="AJ9" i="6" s="1"/>
  <c r="AJ46" i="3"/>
  <c r="AJ20" i="5" s="1"/>
  <c r="AJ22" i="5" s="1"/>
  <c r="AJ23" i="5" s="1"/>
  <c r="AJ3" i="6"/>
  <c r="AJ41" i="3"/>
  <c r="AJ39" i="3"/>
  <c r="AK17" i="5"/>
  <c r="AK18" i="5" s="1"/>
  <c r="AK17" i="3"/>
  <c r="AK23" i="3" s="1"/>
  <c r="AJ10" i="4"/>
  <c r="AJ9" i="4"/>
  <c r="AJ40" i="3" l="1"/>
  <c r="AJ4" i="6"/>
  <c r="AI36" i="6"/>
  <c r="AI37" i="6" s="1"/>
  <c r="AK3" i="4"/>
  <c r="AL11" i="3"/>
  <c r="AL12" i="3" s="1"/>
  <c r="AK28" i="3"/>
  <c r="AK34" i="3" s="1"/>
  <c r="AJ14" i="4"/>
  <c r="AK24" i="3"/>
  <c r="AK27" i="3"/>
  <c r="AK33" i="3" s="1"/>
  <c r="AK26" i="3"/>
  <c r="AL22" i="3"/>
  <c r="AJ47" i="3" l="1"/>
  <c r="AJ48" i="3" s="1"/>
  <c r="AJ8" i="5"/>
  <c r="AJ5" i="6"/>
  <c r="AJ42" i="3"/>
  <c r="AJ43" i="3" s="1"/>
  <c r="AJ44" i="3" s="1"/>
  <c r="AJ3" i="7"/>
  <c r="AI6" i="7"/>
  <c r="AI8" i="7" s="1"/>
  <c r="AI38" i="6"/>
  <c r="AK21" i="4"/>
  <c r="AK10" i="6" s="1"/>
  <c r="AK16" i="4"/>
  <c r="AK17" i="4" s="1"/>
  <c r="AK8" i="6" s="1"/>
  <c r="AJ23" i="4"/>
  <c r="AJ9" i="5" s="1"/>
  <c r="AJ26" i="4"/>
  <c r="AJ7" i="6"/>
  <c r="AJ11" i="6" s="1"/>
  <c r="AK5" i="4"/>
  <c r="AK7" i="4" s="1"/>
  <c r="AK29" i="3"/>
  <c r="AJ12" i="6" l="1"/>
  <c r="AJ13" i="6" s="1"/>
  <c r="AJ10" i="5"/>
  <c r="AJ11" i="5" s="1"/>
  <c r="AI17" i="7"/>
  <c r="AI11" i="7"/>
  <c r="AI14" i="7"/>
  <c r="AI15" i="7" s="1"/>
  <c r="AK35" i="3"/>
  <c r="AK30" i="3"/>
  <c r="AJ4" i="5"/>
  <c r="AJ60" i="4"/>
  <c r="AJ3" i="5"/>
  <c r="AJ25" i="4"/>
  <c r="AJ24" i="4"/>
  <c r="AJ6" i="5"/>
  <c r="AJ5" i="5"/>
  <c r="AL6" i="3" l="1"/>
  <c r="AL7" i="3" s="1"/>
  <c r="AL9" i="3" s="1"/>
  <c r="AL13" i="3" s="1"/>
  <c r="AL14" i="3"/>
  <c r="AL16" i="3" s="1"/>
  <c r="AJ10" i="7"/>
  <c r="AI12" i="7"/>
  <c r="AI18" i="7"/>
  <c r="AK36" i="3"/>
  <c r="AK37" i="3" s="1"/>
  <c r="AL20" i="3"/>
  <c r="AK4" i="4"/>
  <c r="AK6" i="4" s="1"/>
  <c r="AK8" i="4" s="1"/>
  <c r="AK31" i="3"/>
  <c r="AJ23" i="6"/>
  <c r="AJ24" i="6" s="1"/>
  <c r="AJ62" i="4"/>
  <c r="AJ4" i="7" s="1"/>
  <c r="AJ8" i="7" s="1"/>
  <c r="AJ63" i="4"/>
  <c r="AL17" i="5" l="1"/>
  <c r="AL18" i="5" s="1"/>
  <c r="AL17" i="3"/>
  <c r="AL23" i="3" s="1"/>
  <c r="AK39" i="3"/>
  <c r="AK3" i="6"/>
  <c r="AK41" i="3"/>
  <c r="AK46" i="3"/>
  <c r="AK20" i="5" s="1"/>
  <c r="AK22" i="5" s="1"/>
  <c r="AK23" i="5" s="1"/>
  <c r="AK19" i="4"/>
  <c r="AK9" i="6" s="1"/>
  <c r="AK10" i="4"/>
  <c r="AK9" i="4"/>
  <c r="AJ32" i="6"/>
  <c r="AJ35" i="6" s="1"/>
  <c r="AJ36" i="6" s="1"/>
  <c r="AJ37" i="6" s="1"/>
  <c r="AJ38" i="6" s="1"/>
  <c r="AJ34" i="6"/>
  <c r="AJ11" i="7"/>
  <c r="AJ14" i="7"/>
  <c r="AJ15" i="7" s="1"/>
  <c r="AJ17" i="7"/>
  <c r="AK14" i="4" l="1"/>
  <c r="D35" i="8"/>
  <c r="B35" i="8"/>
  <c r="C35" i="8"/>
  <c r="C11" i="8"/>
  <c r="AL27" i="3"/>
  <c r="AL33" i="3" s="1"/>
  <c r="AL26" i="3"/>
  <c r="AL5" i="4" s="1"/>
  <c r="AL7" i="4" s="1"/>
  <c r="B55" i="3"/>
  <c r="AL24" i="3"/>
  <c r="B11" i="8"/>
  <c r="AL3" i="4"/>
  <c r="AL28" i="3"/>
  <c r="AL34" i="3" s="1"/>
  <c r="D11" i="8"/>
  <c r="AK40" i="3"/>
  <c r="AK4" i="6"/>
  <c r="AK10" i="7"/>
  <c r="AJ12" i="7"/>
  <c r="AJ18" i="7"/>
  <c r="AK26" i="4" l="1"/>
  <c r="AK23" i="4"/>
  <c r="AK7" i="6"/>
  <c r="AK11" i="6" s="1"/>
  <c r="AL29" i="3"/>
  <c r="AL21" i="4"/>
  <c r="AL10" i="6" s="1"/>
  <c r="AL16" i="4"/>
  <c r="AL17" i="4" s="1"/>
  <c r="AL8" i="6" s="1"/>
  <c r="AK42" i="3"/>
  <c r="AK43" i="3" s="1"/>
  <c r="AK44" i="3" s="1"/>
  <c r="AK8" i="5"/>
  <c r="AK47" i="3"/>
  <c r="AK48" i="3" s="1"/>
  <c r="AK5" i="6"/>
  <c r="AK3" i="7"/>
  <c r="AK24" i="4" l="1"/>
  <c r="AK4" i="5"/>
  <c r="AK25" i="4"/>
  <c r="AK12" i="6"/>
  <c r="AK13" i="6" s="1"/>
  <c r="AK6" i="5"/>
  <c r="AK5" i="5"/>
  <c r="AK9" i="5"/>
  <c r="AK10" i="5" s="1"/>
  <c r="AK11" i="5" s="1"/>
  <c r="AK60" i="4"/>
  <c r="AK62" i="4" s="1"/>
  <c r="AK4" i="7" s="1"/>
  <c r="AK8" i="7" s="1"/>
  <c r="AK3" i="5"/>
  <c r="AL35" i="3"/>
  <c r="AL30" i="3"/>
  <c r="AK23" i="6" l="1"/>
  <c r="AK24" i="6" s="1"/>
  <c r="AK63" i="4"/>
  <c r="AL4" i="4"/>
  <c r="AL6" i="4" s="1"/>
  <c r="AL8" i="4" s="1"/>
  <c r="D13" i="8"/>
  <c r="C13" i="8"/>
  <c r="AL36" i="3"/>
  <c r="AL37" i="3" s="1"/>
  <c r="B13" i="8"/>
  <c r="AL31" i="3"/>
  <c r="AK14" i="7"/>
  <c r="AK15" i="7" s="1"/>
  <c r="AK11" i="7"/>
  <c r="AK17" i="7"/>
  <c r="AL3" i="6" l="1"/>
  <c r="AL19" i="4"/>
  <c r="AL9" i="6" s="1"/>
  <c r="AL39" i="3"/>
  <c r="AL41" i="3"/>
  <c r="B52" i="3"/>
  <c r="C17" i="8" s="1"/>
  <c r="C42" i="8" s="1"/>
  <c r="AL46" i="3"/>
  <c r="AL20" i="5" s="1"/>
  <c r="AK34" i="6"/>
  <c r="AK32" i="6"/>
  <c r="AK35" i="6" s="1"/>
  <c r="AK36" i="6" s="1"/>
  <c r="AK37" i="6" s="1"/>
  <c r="AK38" i="6" s="1"/>
  <c r="AL9" i="4"/>
  <c r="AL10" i="4"/>
  <c r="AK18" i="7"/>
  <c r="AL10" i="7"/>
  <c r="AK12" i="7"/>
  <c r="D17" i="8" l="1"/>
  <c r="D42" i="8" s="1"/>
  <c r="B17" i="8"/>
  <c r="B42" i="8" s="1"/>
  <c r="AL4" i="6"/>
  <c r="AL40" i="3"/>
  <c r="AL22" i="5"/>
  <c r="B33" i="8"/>
  <c r="C33" i="8"/>
  <c r="D33" i="8"/>
  <c r="B30" i="5"/>
  <c r="AL14" i="4"/>
  <c r="AL42" i="3" l="1"/>
  <c r="AL3" i="7"/>
  <c r="AL8" i="5"/>
  <c r="AL5" i="6"/>
  <c r="B42" i="6" s="1"/>
  <c r="AL47" i="3"/>
  <c r="C34" i="8"/>
  <c r="B34" i="8"/>
  <c r="AL23" i="5"/>
  <c r="D34" i="8"/>
  <c r="AL26" i="4"/>
  <c r="AL23" i="4"/>
  <c r="AL7" i="6"/>
  <c r="AL11" i="6" s="1"/>
  <c r="B18" i="8" l="1"/>
  <c r="C18" i="8"/>
  <c r="AL12" i="6"/>
  <c r="AL13" i="6" s="1"/>
  <c r="AL43" i="3"/>
  <c r="AL44" i="3" s="1"/>
  <c r="AL5" i="7"/>
  <c r="D18" i="8"/>
  <c r="AL48" i="3"/>
  <c r="AL25" i="4"/>
  <c r="B29" i="5"/>
  <c r="C36" i="8"/>
  <c r="D36" i="8"/>
  <c r="B36" i="8"/>
  <c r="AL5" i="5"/>
  <c r="AL6" i="5"/>
  <c r="AL9" i="5"/>
  <c r="AL10" i="5" s="1"/>
  <c r="AL11" i="5" s="1"/>
  <c r="AL3" i="5"/>
  <c r="AL4" i="5"/>
  <c r="AL24" i="4"/>
  <c r="AL60" i="4"/>
  <c r="AL63" i="4" s="1"/>
  <c r="C19" i="8" l="1"/>
  <c r="D19" i="8"/>
  <c r="B19" i="8"/>
  <c r="B56" i="3"/>
  <c r="AL62" i="4"/>
  <c r="AL23" i="6"/>
  <c r="AL24" i="6" s="1"/>
  <c r="D32" i="8"/>
  <c r="C32" i="8"/>
  <c r="B32" i="8"/>
  <c r="B27" i="5"/>
  <c r="B67" i="4" l="1"/>
  <c r="AL4" i="7"/>
  <c r="AL32" i="6"/>
  <c r="AL35" i="6" s="1"/>
  <c r="AL34" i="6"/>
  <c r="B45" i="6" s="1"/>
  <c r="AL36" i="6" l="1"/>
  <c r="AL37" i="6" s="1"/>
  <c r="B23" i="8"/>
  <c r="D23" i="8"/>
  <c r="C23" i="8"/>
  <c r="AL6" i="7" l="1"/>
  <c r="AL8" i="7" s="1"/>
  <c r="AL38" i="6"/>
  <c r="B48" i="6" s="1"/>
  <c r="AL14" i="7" l="1"/>
  <c r="AL15" i="7" s="1"/>
  <c r="AL17" i="7"/>
  <c r="B25" i="7" s="1"/>
  <c r="AL11" i="7"/>
  <c r="B28" i="8" s="1"/>
  <c r="B48" i="8" s="1"/>
  <c r="B24" i="7" l="1"/>
  <c r="AL12" i="7"/>
  <c r="C29" i="8"/>
  <c r="D29" i="8"/>
  <c r="B29" i="8"/>
  <c r="C28" i="8"/>
  <c r="C48" i="8" s="1"/>
  <c r="D28" i="8"/>
  <c r="D48" i="8" s="1"/>
  <c r="AL18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Node</author>
  </authors>
  <commentList>
    <comment ref="A2" authorId="0" shapeId="0" xr:uid="{F643107E-D81F-4440-932C-6BF1F2784464}">
      <text>
        <r>
          <rPr>
            <b/>
            <sz val="10"/>
            <color rgb="FF000000"/>
            <rFont val="Tahoma"/>
            <family val="2"/>
          </rPr>
          <t>Node: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1=Conservative, 2=Base, 3=Optimistic</t>
        </r>
      </text>
    </comment>
    <comment ref="B2" authorId="0" shapeId="0" xr:uid="{68F7BB7B-80CF-0745-A0E9-C5FEA6ED3529}">
      <text>
        <r>
          <rPr>
            <b/>
            <sz val="10"/>
            <color rgb="FF000000"/>
            <rFont val="Tahoma"/>
            <family val="2"/>
          </rPr>
          <t>1=Conservative (slower growth, higher churn), 2=Base, 3=Optimistic (faster growth, lower churn). Changes the multipliers applied to growth and churn rates.</t>
        </r>
      </text>
    </comment>
    <comment ref="B5" authorId="0" shapeId="0" xr:uid="{712BFAE0-DF94-7D47-86D0-CE27FAFE2C61}">
      <text>
        <r>
          <rPr>
            <b/>
            <sz val="10"/>
            <color rgb="FF000000"/>
            <rFont val="Tahoma"/>
            <family val="2"/>
          </rPr>
          <t>Total amount raised in the pre-seed/angel round. This minus formation fees = your starting operating cash.</t>
        </r>
      </text>
    </comment>
    <comment ref="B8" authorId="0" shapeId="0" xr:uid="{AC7B8260-8B59-C54C-B034-B992F3D1B9BF}">
      <text>
        <r>
          <rPr>
            <b/>
            <sz val="10"/>
            <color rgb="FF000000"/>
            <rFont val="Tahoma"/>
            <family val="2"/>
          </rPr>
          <t>Calculated: Raise Amount minus Formation Fees. This is your actual operating cash on day 1. Share capital is paid into the company bank and is available as working capital.</t>
        </r>
      </text>
    </comment>
    <comment ref="B11" authorId="0" shapeId="0" xr:uid="{CA47BB8F-6653-084A-A909-B51A987E4E98}">
      <text>
        <r>
          <rPr>
            <b/>
            <sz val="10"/>
            <color rgb="FF000000"/>
            <rFont val="Tahoma"/>
            <family val="2"/>
          </rPr>
          <t>Entry-level paid tier. Target: independents with basic safety + memory needs.</t>
        </r>
      </text>
    </comment>
    <comment ref="B12" authorId="0" shapeId="0" xr:uid="{8821230D-72B0-4E4A-8179-6A299459CF73}">
      <text>
        <r>
          <rPr>
            <b/>
            <sz val="10"/>
            <color rgb="FF000000"/>
            <rFont val="Tahoma"/>
            <family val="2"/>
          </rPr>
          <t>Main tier. Covers Safety + Memory + Booking. Addresses top 5 validated problems (P3, P4, P5, P6, P2).</t>
        </r>
      </text>
    </comment>
    <comment ref="B13" authorId="0" shapeId="0" xr:uid="{5C1070AC-5114-E54E-89A1-096EC4D02CB3}">
      <text>
        <r>
          <rPr>
            <b/>
            <sz val="10"/>
            <color rgb="FF000000"/>
            <rFont val="Tahoma"/>
            <family val="2"/>
          </rPr>
          <t>Power user tier. Includes collective blacklist access. Funds legally sensitive features. Target: GABRIELLE-profile users.</t>
        </r>
      </text>
    </comment>
    <comment ref="B18" authorId="0" shapeId="0" xr:uid="{A95025FF-DC10-724F-B9A4-5DA3D228D573}">
      <text>
        <r>
          <rPr>
            <b/>
            <sz val="10"/>
            <color rgb="FF000000"/>
            <rFont val="Tahoma"/>
            <family val="2"/>
          </rPr>
          <t>% of paying users who generate a new referral each month. Combined organic + referral scheme. 5% = 1 in 20 paying users refers someone per month.</t>
        </r>
      </text>
    </comment>
    <comment ref="B19" authorId="0" shapeId="0" xr:uid="{7CABA792-DA5D-D34C-8486-CA8690ADEA90}">
      <text>
        <r>
          <rPr>
            <b/>
            <sz val="10"/>
            <color rgb="FF000000"/>
            <rFont val="Tahoma"/>
            <family val="2"/>
          </rPr>
          <t>% of referred contacts who actually sign up. 50% = warm community intros convert well.</t>
        </r>
      </text>
    </comment>
    <comment ref="B23" authorId="0" shapeId="0" xr:uid="{B2929019-8EB7-B44E-826B-40D5B3F7B2CD}">
      <text>
        <r>
          <rPr>
            <b/>
            <sz val="10"/>
            <color rgb="FF000000"/>
            <rFont val="Tahoma"/>
            <family val="2"/>
          </rPr>
          <t>Maximum addressable users in the launch market (French-speaking Switzerland). From scraper data. Growth formula caps at this number.</t>
        </r>
      </text>
    </comment>
    <comment ref="B25" authorId="0" shapeId="0" xr:uid="{2478E736-3DB9-AD44-86DF-169E871A862C}">
      <text>
        <r>
          <rPr>
            <b/>
            <sz val="10"/>
            <color rgb="FF000000"/>
            <rFont val="Tahoma"/>
            <family val="2"/>
          </rPr>
          <t>Month when word-of-mouth starts spilling beyond Switzerland. After this month, Swiss WOM generates additional international users at the cross-border multiplier rate.</t>
        </r>
      </text>
    </comment>
    <comment ref="B27" authorId="0" shapeId="0" xr:uid="{71F0A81D-E1AB-DE40-8A6D-D491966D1C48}">
      <text>
        <r>
          <rPr>
            <b/>
            <sz val="10"/>
            <color rgb="FF000000"/>
            <rFont val="Tahoma"/>
            <family val="2"/>
          </rPr>
          <t>How much extra growth Swiss WOM generates internationally. 1.5 = for every 1 new Swiss WOM user, 0.5 additional international users are generated.</t>
        </r>
      </text>
    </comment>
    <comment ref="B33" authorId="0" shapeId="0" xr:uid="{17FE02CD-575A-D545-8A48-83CEE702842B}">
      <text>
        <r>
          <rPr>
            <b/>
            <sz val="10"/>
            <color rgb="FF000000"/>
            <rFont val="Tahoma"/>
            <family val="2"/>
          </rPr>
          <t>% of automated billing attempts that fail permanently (after retries and dunning). Net rate, not gross attempts.</t>
        </r>
      </text>
    </comment>
    <comment ref="B37" authorId="0" shapeId="0" xr:uid="{78B3E787-A04A-5741-9247-A0D483007E9B}">
      <text>
        <r>
          <rPr>
            <b/>
            <sz val="10"/>
            <color rgb="FF000000"/>
            <rFont val="Tahoma"/>
            <family val="2"/>
          </rPr>
          <t>Average AI interactions per user per month. ~5/day. Drives the largest variable cost.</t>
        </r>
      </text>
    </comment>
    <comment ref="B38" authorId="0" shapeId="0" xr:uid="{78C148DE-BFA8-7C46-B52E-BAC36A9A319E}">
      <text>
        <r>
          <rPr>
            <b/>
            <sz val="10"/>
            <color rgb="FF000000"/>
            <rFont val="Tahoma"/>
            <family val="2"/>
          </rPr>
          <t>Free users send this fraction of messages vs. paid users. 0.30 = 30% of the AI resources per user.</t>
        </r>
      </text>
    </comment>
    <comment ref="B41" authorId="0" shapeId="0" xr:uid="{72B0815F-2A7D-0342-A53E-3B3AC9F6CE1F}">
      <text>
        <r>
          <rPr>
            <b/>
            <sz val="10"/>
            <color rgb="FF000000"/>
            <rFont val="Tahoma"/>
            <family val="2"/>
          </rPr>
          <t>Split between fast/cheap model (e.g., Haiku, GPT-4o-mini, Llama) and smart/expensive model (e.g., Sonnet, GPT-4o). 80% fast = most interactions use the cheap model.</t>
        </r>
      </text>
    </comment>
    <comment ref="B46" authorId="0" shapeId="0" xr:uid="{15582F38-1188-594F-9E88-AA131DFAF386}">
      <text>
        <r>
          <rPr>
            <b/>
            <sz val="10"/>
            <color rgb="FF000000"/>
            <rFont val="Tahoma"/>
            <family val="2"/>
          </rPr>
          <t>Monthly % decrease in token prices. AI costs drop ~20-30%/year. 2%/month = ~80% of original price at month 12.</t>
        </r>
      </text>
    </comment>
    <comment ref="B47" authorId="0" shapeId="0" xr:uid="{184456DE-1042-1045-A86B-AEEF65A966BB}">
      <text>
        <r>
          <rPr>
            <b/>
            <sz val="10"/>
            <color rgb="FF000000"/>
            <rFont val="Tahoma"/>
            <family val="2"/>
          </rPr>
          <t>Exchange rate: 1 USD = this many CHF. Used to convert AI costs (priced in USD) to CHF.</t>
        </r>
      </text>
    </comment>
    <comment ref="B49" authorId="0" shapeId="0" xr:uid="{D0C5452E-0379-174C-B667-B92EFD5CF36C}">
      <text>
        <r>
          <rPr>
            <b/>
            <sz val="10"/>
            <color rgb="FF000000"/>
            <rFont val="Tahoma"/>
            <family val="2"/>
          </rPr>
          <t>Node:</t>
        </r>
        <r>
          <rPr>
            <sz val="10"/>
            <color rgb="FF000000"/>
            <rFont val="Tahoma"/>
            <family val="2"/>
          </rPr>
          <t xml:space="preserve">
2% decline per month</t>
        </r>
      </text>
    </comment>
    <comment ref="B57" authorId="0" shapeId="0" xr:uid="{96752C8D-24FA-DE46-8D82-05D927182AA1}">
      <text>
        <r>
          <rPr>
            <b/>
            <sz val="10"/>
            <color rgb="FF000000"/>
            <rFont val="Tahoma"/>
            <family val="2"/>
          </rPr>
          <t>Swiss employer social charges (AHV/IV/EO, ALV, BVG, UVG, KTG, FAK). 16% = blended rate for a young team in Geneva.</t>
        </r>
      </text>
    </comment>
    <comment ref="B70" authorId="0" shapeId="0" xr:uid="{C767D3F7-F43B-9A47-A446-75E9FD853343}">
      <text>
        <r>
          <rPr>
            <b/>
            <sz val="10"/>
            <color rgb="FF000000"/>
            <rFont val="Tahoma"/>
            <family val="2"/>
          </rPr>
          <t>Unallocated reserve as % of monthly operating costs. Standard: 10-15%. Covers unexpected expenses.</t>
        </r>
      </text>
    </comment>
    <comment ref="B77" authorId="0" shapeId="0" xr:uid="{2409355B-6115-534F-9CE5-A40DEEB5EF18}">
      <text>
        <r>
          <rPr>
            <b/>
            <sz val="10"/>
            <color rgb="FF000000"/>
            <rFont val="Tahoma"/>
            <family val="2"/>
          </rPr>
          <t>Swiss VAT on SaaS subscriptions. 8.1% in 2026. May increase to 8.8% in 2028.</t>
        </r>
      </text>
    </comment>
    <comment ref="B78" authorId="0" shapeId="0" xr:uid="{D36242AE-12BF-194E-BB92-6BE56214CE65}">
      <text>
        <r>
          <rPr>
            <b/>
            <sz val="10"/>
            <color rgb="FF000000"/>
            <rFont val="Tahoma"/>
            <family val="2"/>
          </rPr>
          <t>Geneva corporate tax. ~14%. Only applies when cumulative income turns positive. Losses carry forward 7 years.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Node</author>
  </authors>
  <commentList>
    <comment ref="A6" authorId="0" shapeId="0" xr:uid="{07A66FE0-E26F-9748-8240-C7C65FD5BCD4}">
      <text>
        <r>
          <rPr>
            <b/>
            <sz val="10"/>
            <color rgb="FF000000"/>
            <rFont val="Tahoma"/>
            <family val="2"/>
          </rPr>
          <t>New users from word-of-mouth. = prior month paying users x referral rate x conversion. Active from month 4+.</t>
        </r>
      </text>
    </comment>
    <comment ref="A9" authorId="0" shapeId="0" xr:uid="{D42D476E-AEA7-5B47-9611-92C3A9DC13FB}">
      <text>
        <r>
          <rPr>
            <b/>
            <sz val="10"/>
            <color rgb="FF000000"/>
            <rFont val="Tahoma"/>
            <family val="2"/>
          </rPr>
          <t>Node:</t>
        </r>
        <r>
          <rPr>
            <sz val="10"/>
            <color rgb="FF000000"/>
            <rFont val="Tahoma"/>
            <family val="2"/>
          </rPr>
          <t xml:space="preserve">
New users after seasonality factor. Summer months are slower.</t>
        </r>
      </text>
    </comment>
    <comment ref="A13" authorId="0" shapeId="0" xr:uid="{79B976EC-881B-7644-8069-A8F5E2384E92}">
      <text>
        <r>
          <rPr>
            <b/>
            <sz val="10"/>
            <color rgb="FF000000"/>
            <rFont val="Tahoma"/>
            <family val="2"/>
          </rPr>
          <t>Node:</t>
        </r>
        <r>
          <rPr>
            <sz val="10"/>
            <color rgb="FF000000"/>
            <rFont val="Tahoma"/>
            <family val="2"/>
          </rPr>
          <t xml:space="preserve">
New users capped so total never exceeds the Swiss market ceiling.</t>
        </r>
      </text>
    </comment>
    <comment ref="A14" authorId="0" shapeId="0" xr:uid="{FC9B2B35-263D-BD4C-835F-834A843AE43B}">
      <text>
        <r>
          <rPr>
            <b/>
            <sz val="10"/>
            <color rgb="FF000000"/>
            <rFont val="Tahoma"/>
            <family val="2"/>
          </rPr>
          <t>Node:</t>
        </r>
        <r>
          <rPr>
            <sz val="10"/>
            <color rgb="FF000000"/>
            <rFont val="Tahoma"/>
            <family val="2"/>
          </rPr>
          <t xml:space="preserve">
International WOM users. Swiss users referring contacts abroad. Activates at International Launch Month.</t>
        </r>
      </text>
    </comment>
    <comment ref="A20" authorId="0" shapeId="0" xr:uid="{3FBEA74E-CE67-9748-A10C-0FA699E9C1DF}">
      <text>
        <r>
          <rPr>
            <b/>
            <sz val="10"/>
            <color rgb="FF000000"/>
            <rFont val="Tahoma"/>
            <family val="2"/>
          </rPr>
          <t>Node:</t>
        </r>
        <r>
          <rPr>
            <sz val="10"/>
            <color rgb="FF000000"/>
            <rFont val="Tahoma"/>
            <family val="2"/>
          </rPr>
          <t xml:space="preserve">
Churned users. Churn applies to paying users only. Free users do not churn.</t>
        </r>
      </text>
    </comment>
    <comment ref="A30" authorId="0" shapeId="0" xr:uid="{DA8EE3EE-4575-9D4E-943F-58678475F4D0}">
      <text>
        <r>
          <rPr>
            <b/>
            <sz val="10"/>
            <color rgb="FF000000"/>
            <rFont val="Tahoma"/>
            <family val="2"/>
          </rPr>
          <t>Node:</t>
        </r>
        <r>
          <rPr>
            <sz val="10"/>
            <color rgb="FF000000"/>
            <rFont val="Tahoma"/>
            <family val="2"/>
          </rPr>
          <t xml:space="preserve">
Users on Solo, Pro, or Pro+ tiers. These generate revenue.</t>
        </r>
      </text>
    </comment>
    <comment ref="A37" authorId="0" shapeId="0" xr:uid="{EB63956A-02FF-4643-9780-A0FFAC9ECFBD}">
      <text>
        <r>
          <rPr>
            <b/>
            <sz val="10"/>
            <color rgb="FF000000"/>
            <rFont val="Tahoma"/>
            <family val="2"/>
          </rPr>
          <t>Node:</t>
        </r>
        <r>
          <rPr>
            <sz val="10"/>
            <color rgb="FF000000"/>
            <rFont val="Tahoma"/>
            <family val="2"/>
          </rPr>
          <t xml:space="preserve">
Total revenue before deductions. Users x tier prices.</t>
        </r>
      </text>
    </comment>
    <comment ref="A40" authorId="0" shapeId="0" xr:uid="{7827D82D-E583-C14A-8BC9-AF1CBA7C5867}">
      <text>
        <r>
          <rPr>
            <b/>
            <sz val="10"/>
            <color rgb="FF000000"/>
            <rFont val="Tahoma"/>
            <family val="2"/>
          </rPr>
          <t>Node:</t>
        </r>
        <r>
          <rPr>
            <sz val="10"/>
            <color rgb="FF000000"/>
            <rFont val="Tahoma"/>
            <family val="2"/>
          </rPr>
          <t xml:space="preserve">
Revenue actually collected. Gross minus failed payments.</t>
        </r>
      </text>
    </comment>
    <comment ref="A42" authorId="0" shapeId="0" xr:uid="{DE092EBD-80ED-4648-943D-624AF9F26B0C}">
      <text>
        <r>
          <rPr>
            <b/>
            <sz val="10"/>
            <color rgb="FF000000"/>
            <rFont val="Tahoma"/>
            <family val="2"/>
          </rPr>
          <t>Node:</t>
        </r>
        <r>
          <rPr>
            <sz val="10"/>
            <color rgb="FF000000"/>
            <rFont val="Tahoma"/>
            <family val="2"/>
          </rPr>
          <t xml:space="preserve">
Swiss VAT (8.1%) embedded in price. Collected monthly, remitted quarterly.</t>
        </r>
      </text>
    </comment>
    <comment ref="A46" authorId="0" shapeId="0" xr:uid="{744F9931-303D-854B-8A2F-07AE671824E4}">
      <text>
        <r>
          <rPr>
            <b/>
            <sz val="10"/>
            <color rgb="FF000000"/>
            <rFont val="Tahoma"/>
            <family val="2"/>
          </rPr>
          <t>Node:</t>
        </r>
        <r>
          <rPr>
            <sz val="10"/>
            <color rgb="FF000000"/>
            <rFont val="Tahoma"/>
            <family val="2"/>
          </rPr>
          <t xml:space="preserve">
Average Revenue Per User. Gross revenue / paying users.</t>
        </r>
      </text>
    </comment>
    <comment ref="A47" authorId="0" shapeId="0" xr:uid="{2E0E1501-DD4F-C543-81D2-215A9DD8906F}">
      <text>
        <r>
          <rPr>
            <b/>
            <sz val="10"/>
            <color rgb="FF000000"/>
            <rFont val="Tahoma"/>
            <family val="2"/>
          </rPr>
          <t>Node:</t>
        </r>
        <r>
          <rPr>
            <sz val="10"/>
            <color rgb="FF000000"/>
            <rFont val="Tahoma"/>
            <family val="2"/>
          </rPr>
          <t xml:space="preserve">
Monthly Recurring Revenue. The heartbeat metric investors watch.</t>
        </r>
      </text>
    </comment>
    <comment ref="A48" authorId="0" shapeId="0" xr:uid="{B7F3263E-9150-B749-B0C9-BF2C6C2E201F}">
      <text>
        <r>
          <rPr>
            <b/>
            <sz val="10"/>
            <color rgb="FF000000"/>
            <rFont val="Tahoma"/>
            <family val="2"/>
          </rPr>
          <t>Node:</t>
        </r>
        <r>
          <rPr>
            <sz val="10"/>
            <color rgb="FF000000"/>
            <rFont val="Tahoma"/>
            <family val="2"/>
          </rPr>
          <t xml:space="preserve">
Annual Recurring Revenue = MRR x 12. The headline fundraising number.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Node</author>
  </authors>
  <commentList>
    <comment ref="A11" authorId="0" shapeId="0" xr:uid="{824D0402-9AAB-EA4D-9712-38461300E73D}">
      <text>
        <r>
          <rPr>
            <b/>
            <sz val="10"/>
            <color rgb="FF000000"/>
            <rFont val="Tahoma"/>
            <family val="2"/>
          </rPr>
          <t>Node:</t>
        </r>
        <r>
          <rPr>
            <sz val="10"/>
            <color rgb="FF000000"/>
            <rFont val="Tahoma"/>
            <family val="2"/>
          </rPr>
          <t xml:space="preserve">
Cumulative AI price decline. 1.0 in month 1, drops 2%/month. By month 12 = ~0.80.</t>
        </r>
      </text>
    </comment>
    <comment ref="A14" authorId="0" shapeId="0" xr:uid="{9BE3D776-D675-DD40-9A36-8624A53E2FCA}">
      <text>
        <r>
          <rPr>
            <b/>
            <sz val="10"/>
            <color rgb="FF000000"/>
            <rFont val="Tahoma"/>
            <family val="2"/>
          </rPr>
          <t>Node:</t>
        </r>
        <r>
          <rPr>
            <sz val="10"/>
            <color rgb="FF000000"/>
            <rFont val="Tahoma"/>
            <family val="2"/>
          </rPr>
          <t xml:space="preserve">
AI inference cost for all users (paying + free). Largest variable cost. Users x messages x tokens x price.</t>
        </r>
      </text>
    </comment>
    <comment ref="A19" authorId="0" shapeId="0" xr:uid="{3A8D45DD-7B10-304D-B6AA-97A29E3F103D}">
      <text>
        <r>
          <rPr>
            <b/>
            <sz val="10"/>
            <color rgb="FF000000"/>
            <rFont val="Tahoma"/>
            <family val="2"/>
          </rPr>
          <t>Node:</t>
        </r>
        <r>
          <rPr>
            <sz val="10"/>
            <color rgb="FF000000"/>
            <rFont val="Tahoma"/>
            <family val="2"/>
          </rPr>
          <t xml:space="preserve">
Payment processor fees. 2.9% of revenue + CHF 0.30 per paying user per month.</t>
        </r>
      </text>
    </comment>
    <comment ref="A26" authorId="0" shapeId="0" xr:uid="{4C7DB9E1-842A-9944-8F77-F37D07604067}">
      <text>
        <r>
          <rPr>
            <b/>
            <sz val="10"/>
            <color rgb="FF000000"/>
            <rFont val="Tahoma"/>
            <family val="2"/>
          </rPr>
          <t>Node:</t>
        </r>
        <r>
          <rPr>
            <sz val="10"/>
            <color rgb="FF000000"/>
            <rFont val="Tahoma"/>
            <family val="2"/>
          </rPr>
          <t xml:space="preserve">
Cost of serving free users. AI + messaging + storage with zero revenue offset.</t>
        </r>
      </text>
    </comment>
    <comment ref="A34" authorId="0" shapeId="0" xr:uid="{86FC96D0-4475-FC43-8EA8-10E814A98AA0}">
      <text>
        <r>
          <rPr>
            <b/>
            <sz val="10"/>
            <color rgb="FF000000"/>
            <rFont val="Tahoma"/>
            <family val="2"/>
          </rPr>
          <t>Node:</t>
        </r>
        <r>
          <rPr>
            <sz val="10"/>
            <color rgb="FF000000"/>
            <rFont val="Tahoma"/>
            <family val="2"/>
          </rPr>
          <t xml:space="preserve">
Salaries + Swiss social charges (16%). Biggest fixed cost once founders draw salary.</t>
        </r>
      </text>
    </comment>
    <comment ref="A49" authorId="0" shapeId="0" xr:uid="{AB2FCED3-3B44-9C4F-AEFB-D67FFC3243DB}">
      <text>
        <r>
          <rPr>
            <b/>
            <sz val="10"/>
            <color rgb="FF000000"/>
            <rFont val="Tahoma"/>
            <family val="2"/>
          </rPr>
          <t>Node:</t>
        </r>
        <r>
          <rPr>
            <sz val="10"/>
            <color rgb="FF000000"/>
            <rFont val="Tahoma"/>
            <family val="2"/>
          </rPr>
          <t xml:space="preserve">
For running NSFW-capable or custom models locally. Zero by default. Enable if commercial APIs won't serve the use case.</t>
        </r>
      </text>
    </comment>
    <comment ref="A56" authorId="0" shapeId="0" xr:uid="{FBEA11E4-759E-8344-B9DD-8B41B9D3B6B8}">
      <text>
        <r>
          <rPr>
            <b/>
            <sz val="10"/>
            <color rgb="FF000000"/>
            <rFont val="Tahoma"/>
            <family val="2"/>
          </rPr>
          <t>Node:</t>
        </r>
        <r>
          <rPr>
            <sz val="10"/>
            <color rgb="FF000000"/>
            <rFont val="Tahoma"/>
            <family val="2"/>
          </rPr>
          <t xml:space="preserve">
One-time external technical audit. Recommended before beta launch.</t>
        </r>
      </text>
    </comment>
    <comment ref="A60" authorId="0" shapeId="0" xr:uid="{8DE741B5-B916-7A44-83C3-D186B7BE823A}">
      <text>
        <r>
          <rPr>
            <b/>
            <sz val="10"/>
            <color rgb="FF000000"/>
            <rFont val="Tahoma"/>
            <family val="2"/>
          </rPr>
          <t>Node:</t>
        </r>
        <r>
          <rPr>
            <sz val="10"/>
            <color rgb="FF000000"/>
            <rFont val="Tahoma"/>
            <family val="2"/>
          </rPr>
          <t xml:space="preserve">
10% buffer on operating costs. Standard early-stage budgeting practice.</t>
        </r>
      </text>
    </comment>
    <comment ref="A62" authorId="0" shapeId="0" xr:uid="{E49C19F8-0D29-E748-A039-EA97EB647F7E}">
      <text>
        <r>
          <rPr>
            <b/>
            <sz val="10"/>
            <color rgb="FF000000"/>
            <rFont val="Tahoma"/>
            <family val="2"/>
          </rPr>
          <t>Node:</t>
        </r>
        <r>
          <rPr>
            <sz val="10"/>
            <color rgb="FF000000"/>
            <rFont val="Tahoma"/>
            <family val="2"/>
          </rPr>
          <t xml:space="preserve">
Everything: variable + fixed + one-time + contingency. Your monthly cash burn.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Node</author>
  </authors>
  <commentList>
    <comment ref="A3" authorId="0" shapeId="0" xr:uid="{66C28C13-0043-7249-B6DC-7B98808E4670}">
      <text>
        <r>
          <rPr>
            <b/>
            <sz val="10"/>
            <color rgb="FF000000"/>
            <rFont val="Tahoma"/>
            <family val="2"/>
          </rPr>
          <t>Node:</t>
        </r>
        <r>
          <rPr>
            <sz val="10"/>
            <color rgb="FF000000"/>
            <rFont val="Tahoma"/>
            <family val="2"/>
          </rPr>
          <t xml:space="preserve">
Cost to serve one paying customer per month. AI + messaging + payments + storage.</t>
        </r>
      </text>
    </comment>
    <comment ref="A11" authorId="0" shapeId="0" xr:uid="{5D792319-2A14-3D41-9A02-9203770B333D}">
      <text>
        <r>
          <rPr>
            <b/>
            <sz val="10"/>
            <color rgb="FF000000"/>
            <rFont val="Tahoma"/>
            <family val="2"/>
          </rPr>
          <t>Node:</t>
        </r>
        <r>
          <rPr>
            <sz val="10"/>
            <color rgb="FF000000"/>
            <rFont val="Tahoma"/>
            <family val="2"/>
          </rPr>
          <t xml:space="preserve">
Revenue minus direct costs, as %. &gt;60% is healthy SaaS. &lt;40% needs pricing/cost work.</t>
        </r>
      </text>
    </comment>
    <comment ref="A18" authorId="0" shapeId="0" xr:uid="{20B5156F-7726-8140-8AE7-3779F29622E5}">
      <text>
        <r>
          <rPr>
            <b/>
            <sz val="10"/>
            <color rgb="FF000000"/>
            <rFont val="Tahoma"/>
            <family val="2"/>
          </rPr>
          <t>Node:</t>
        </r>
        <r>
          <rPr>
            <sz val="10"/>
            <color rgb="FF000000"/>
            <rFont val="Tahoma"/>
            <family val="2"/>
          </rPr>
          <t xml:space="preserve">
Customer Acquisition Cost: marketing + events + 30% of co-founder time / new paying users.</t>
        </r>
      </text>
    </comment>
    <comment ref="A22" authorId="0" shapeId="0" xr:uid="{1245E6C0-3F93-D44E-9408-202276F89DEF}">
      <text>
        <r>
          <rPr>
            <b/>
            <sz val="10"/>
            <color rgb="FF000000"/>
            <rFont val="Tahoma"/>
            <family val="2"/>
          </rPr>
          <t>Node:</t>
        </r>
        <r>
          <rPr>
            <sz val="10"/>
            <color rgb="FF000000"/>
            <rFont val="Tahoma"/>
            <family val="2"/>
          </rPr>
          <t xml:space="preserve">
Lifetime Value = ARPU / churn. Total revenue per customer before they leave.</t>
        </r>
      </text>
    </comment>
    <comment ref="A23" authorId="0" shapeId="0" xr:uid="{362FBC81-E127-8147-87D0-C15F7F8BD1FA}">
      <text>
        <r>
          <rPr>
            <b/>
            <sz val="10"/>
            <color rgb="FF000000"/>
            <rFont val="Tahoma"/>
            <family val="2"/>
          </rPr>
          <t>Node:</t>
        </r>
        <r>
          <rPr>
            <sz val="10"/>
            <color rgb="FF000000"/>
            <rFont val="Tahoma"/>
            <family val="2"/>
          </rPr>
          <t xml:space="preserve">
The SaaS health metric. &gt;3 = business model works. &lt;1 = losing money per customer.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Node</author>
  </authors>
  <commentList>
    <comment ref="A12" authorId="0" shapeId="0" xr:uid="{F06F61D6-0A59-C54C-9BF2-8A875FC2470C}">
      <text>
        <r>
          <rPr>
            <b/>
            <sz val="10"/>
            <color rgb="FF000000"/>
            <rFont val="Tahoma"/>
            <family val="2"/>
          </rPr>
          <t>Node:</t>
        </r>
        <r>
          <rPr>
            <sz val="10"/>
            <color rgb="FF000000"/>
            <rFont val="Tahoma"/>
            <family val="2"/>
          </rPr>
          <t xml:space="preserve">
Revenue minus cost of goods sold. Is the product itself profitable?</t>
        </r>
      </text>
    </comment>
    <comment ref="A24" authorId="0" shapeId="0" xr:uid="{14D650C3-380C-0A4E-9747-D5E57DC7C6C5}">
      <text>
        <r>
          <rPr>
            <b/>
            <sz val="10"/>
            <color rgb="FF000000"/>
            <rFont val="Tahoma"/>
            <family val="2"/>
          </rPr>
          <t>Node:</t>
        </r>
        <r>
          <rPr>
            <sz val="10"/>
            <color rgb="FF000000"/>
            <rFont val="Tahoma"/>
            <family val="2"/>
          </rPr>
          <t xml:space="preserve">
Operating expenses: people, legal, infra, marketing. Cost of running the company.</t>
        </r>
      </text>
    </comment>
    <comment ref="A34" authorId="0" shapeId="0" xr:uid="{734C7F3E-9876-AB42-B96A-7D0D25235CA0}">
      <text>
        <r>
          <rPr>
            <b/>
            <sz val="10"/>
            <color rgb="FF000000"/>
            <rFont val="Tahoma"/>
            <family val="2"/>
          </rPr>
          <t>Node:</t>
        </r>
        <r>
          <rPr>
            <sz val="10"/>
            <color rgb="FF000000"/>
            <rFont val="Tahoma"/>
            <family val="2"/>
          </rPr>
          <t xml:space="preserve">
Earnings before interest, tax, depreciation. Excludes one-time costs. Recurring profitability.</t>
        </r>
      </text>
    </comment>
    <comment ref="A38" authorId="0" shapeId="0" xr:uid="{27559229-007D-AF4E-8B9F-2F7AB61DDA77}">
      <text>
        <r>
          <rPr>
            <b/>
            <sz val="10"/>
            <color rgb="FF000000"/>
            <rFont val="Tahoma"/>
            <family val="2"/>
          </rPr>
          <t>Node:</t>
        </r>
        <r>
          <rPr>
            <sz val="10"/>
            <color rgb="FF000000"/>
            <rFont val="Tahoma"/>
            <family val="2"/>
          </rPr>
          <t xml:space="preserve">
Bottom line. Negative = burning cash. Determines how fast you consume runway.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Node</author>
  </authors>
  <commentList>
    <comment ref="A5" authorId="0" shapeId="0" xr:uid="{93FAA5E1-4C6E-B640-8808-4C2C8398E4CF}">
      <text>
        <r>
          <rPr>
            <b/>
            <sz val="10"/>
            <color rgb="FF000000"/>
            <rFont val="Tahoma"/>
            <family val="2"/>
          </rPr>
          <t>Node:</t>
        </r>
        <r>
          <rPr>
            <sz val="10"/>
            <color rgb="FF000000"/>
            <rFont val="Tahoma"/>
            <family val="2"/>
          </rPr>
          <t xml:space="preserve">
VAT collected monthly, paid to government quarterly (months 3,6,9,12...). Small cash timing benefit.</t>
        </r>
      </text>
    </comment>
    <comment ref="A7" authorId="0" shapeId="0" xr:uid="{685CFDE3-B716-5C40-9AFD-E6990266F505}">
      <text>
        <r>
          <rPr>
            <b/>
            <sz val="10"/>
            <color rgb="FF000000"/>
            <rFont val="Tahoma"/>
            <family val="2"/>
          </rPr>
          <t>Node:</t>
        </r>
        <r>
          <rPr>
            <sz val="10"/>
            <color rgb="FF000000"/>
            <rFont val="Tahoma"/>
            <family val="2"/>
          </rPr>
          <t xml:space="preserve">
Manual override. Set non-zero to model a second raise (e.g., CHF 500K in month 15).</t>
        </r>
      </text>
    </comment>
    <comment ref="A11" authorId="0" shapeId="0" xr:uid="{19640B25-B1BD-AE4E-BB7F-3D5DB81C07F8}">
      <text>
        <r>
          <rPr>
            <b/>
            <sz val="10"/>
            <color rgb="FF000000"/>
            <rFont val="Tahoma"/>
            <family val="2"/>
          </rPr>
          <t>Node:</t>
        </r>
        <r>
          <rPr>
            <sz val="10"/>
            <color rgb="FF000000"/>
            <rFont val="Tahoma"/>
            <family val="2"/>
          </rPr>
          <t xml:space="preserve">
Bank balance at month end. When this hits zero, you're out of money. Red = negative.</t>
        </r>
      </text>
    </comment>
    <comment ref="A15" authorId="0" shapeId="0" xr:uid="{93ADA4AB-0B8F-5E48-82AB-D70DCE0A4F0B}">
      <text>
        <r>
          <rPr>
            <b/>
            <sz val="10"/>
            <color rgb="FF000000"/>
            <rFont val="Tahoma"/>
            <family val="2"/>
          </rPr>
          <t>Node:</t>
        </r>
        <r>
          <rPr>
            <sz val="10"/>
            <color rgb="FF000000"/>
            <rFont val="Tahoma"/>
            <family val="2"/>
          </rPr>
          <t xml:space="preserve">
Months you can survive at current burn rate. Start fundraising when this drops below 6.</t>
        </r>
      </text>
    </comment>
    <comment ref="A17" authorId="0" shapeId="0" xr:uid="{53915259-7888-C84B-A016-E908B782D924}">
      <text>
        <r>
          <rPr>
            <b/>
            <sz val="10"/>
            <color rgb="FF000000"/>
            <rFont val="Tahoma"/>
            <family val="2"/>
          </rPr>
          <t>Node:</t>
        </r>
        <r>
          <rPr>
            <sz val="10"/>
            <color rgb="FF000000"/>
            <rFont val="Tahoma"/>
            <family val="2"/>
          </rPr>
          <t xml:space="preserve">
YES = you earned more than you spent this month. The breakeven milestone.</t>
        </r>
      </text>
    </comment>
  </commentList>
</comments>
</file>

<file path=xl/sharedStrings.xml><?xml version="1.0" encoding="utf-8"?>
<sst xmlns="http://schemas.openxmlformats.org/spreadsheetml/2006/main" count="859" uniqueCount="480">
  <si>
    <t>Section</t>
  </si>
  <si>
    <t>Value/Units</t>
  </si>
  <si>
    <t>Scenario Toggle</t>
  </si>
  <si>
    <t>Entity Type</t>
  </si>
  <si>
    <t>Round 1 Raise Amount</t>
  </si>
  <si>
    <t>Net Starting Cash</t>
  </si>
  <si>
    <t>Free Tier Price</t>
  </si>
  <si>
    <t>Solo Tier Price (CHF/mo)</t>
  </si>
  <si>
    <t>Pro Tier Price (CHF/mo)</t>
  </si>
  <si>
    <t>Pro+ Tier Price (CHF/mo)</t>
  </si>
  <si>
    <t>Add-on Price (CHF/mo)</t>
  </si>
  <si>
    <t>Beta New Users</t>
  </si>
  <si>
    <t>users/mo</t>
  </si>
  <si>
    <t>Partner New Users (Aspasie etc)</t>
  </si>
  <si>
    <t>WOM Referral Rate</t>
  </si>
  <si>
    <t>Referral Conversion Rate</t>
  </si>
  <si>
    <t>Seasonality Factor</t>
  </si>
  <si>
    <t>multiplier</t>
  </si>
  <si>
    <t>Market Ceiling (FR-CH)</t>
  </si>
  <si>
    <t>Market Ceiling (all CH)</t>
  </si>
  <si>
    <t>% Free</t>
  </si>
  <si>
    <t>%</t>
  </si>
  <si>
    <t>% Solo</t>
  </si>
  <si>
    <t>% Pro</t>
  </si>
  <si>
    <t>% Pro+</t>
  </si>
  <si>
    <t>Tier Mix Check</t>
  </si>
  <si>
    <t>must=100%</t>
  </si>
  <si>
    <t>Monthly Churn Rate</t>
  </si>
  <si>
    <t>Failed Payments Rate</t>
  </si>
  <si>
    <t>Payment Processing %</t>
  </si>
  <si>
    <t>Payment Processing Fixed (CHF)</t>
  </si>
  <si>
    <t>Messages per User per Month</t>
  </si>
  <si>
    <t>Free User Message Fraction</t>
  </si>
  <si>
    <t>Input Tokens per Message</t>
  </si>
  <si>
    <t>Output Tokens per Message</t>
  </si>
  <si>
    <t>AI Cost Decline Rate</t>
  </si>
  <si>
    <t>CHF per USD</t>
  </si>
  <si>
    <t>Conversations per User per Month</t>
  </si>
  <si>
    <t>Storage Cost per User per Month (CHF)</t>
  </si>
  <si>
    <t>Co-founder 1 Gross Salary</t>
  </si>
  <si>
    <t>CHF/mo</t>
  </si>
  <si>
    <t>Co-founder 2 Gross Salary</t>
  </si>
  <si>
    <t>CTO / Engineering Gross</t>
  </si>
  <si>
    <t>Community / Intern Gross</t>
  </si>
  <si>
    <t>Social Charges Rate</t>
  </si>
  <si>
    <t>Legal Retainer</t>
  </si>
  <si>
    <t>Swiss Hosting</t>
  </si>
  <si>
    <t>Domain + Tooling + SaaS</t>
  </si>
  <si>
    <t>Scraper Hosting</t>
  </si>
  <si>
    <t>Marketing + Merchandising</t>
  </si>
  <si>
    <t>Travel + Events</t>
  </si>
  <si>
    <t>D&amp;O Insurance</t>
  </si>
  <si>
    <t>Cyber Liability Insurance</t>
  </si>
  <si>
    <t>Bookkeeping + Closing</t>
  </si>
  <si>
    <t>VAT Returns</t>
  </si>
  <si>
    <t>Corporate Tax Return</t>
  </si>
  <si>
    <t>Contingency %</t>
  </si>
  <si>
    <t>CHF</t>
  </si>
  <si>
    <t>Legal Opinions</t>
  </si>
  <si>
    <t>Design Consulting</t>
  </si>
  <si>
    <t>Fundraising Legal</t>
  </si>
  <si>
    <t>VAT Rate</t>
  </si>
  <si>
    <t>Corporate Tax Rate (Geneva)</t>
  </si>
  <si>
    <t>CAC Allocation % (co-founder time)</t>
  </si>
  <si>
    <t>Conservative Growth Mult</t>
  </si>
  <si>
    <t>Base Growth Mult</t>
  </si>
  <si>
    <t>Optimistic Growth Mult</t>
  </si>
  <si>
    <t>Conservative Churn Mult</t>
  </si>
  <si>
    <t>Base Churn Mult</t>
  </si>
  <si>
    <t>Optimistic Churn Mult</t>
  </si>
  <si>
    <t>SA</t>
  </si>
  <si>
    <t>Revenue Model</t>
  </si>
  <si>
    <t>Units</t>
  </si>
  <si>
    <t>Partner New Users</t>
  </si>
  <si>
    <t>WOM New Users</t>
  </si>
  <si>
    <t>Gross New Users</t>
  </si>
  <si>
    <t>Adjusted New Users</t>
  </si>
  <si>
    <t>Market Ceiling</t>
  </si>
  <si>
    <t>Prior Total Users</t>
  </si>
  <si>
    <t>Headroom</t>
  </si>
  <si>
    <t>Capped New Users</t>
  </si>
  <si>
    <t>Churn Rate (effective)</t>
  </si>
  <si>
    <t>Churned Users</t>
  </si>
  <si>
    <t>Start of Month Users</t>
  </si>
  <si>
    <t>End of Month Users</t>
  </si>
  <si>
    <t>Net Change</t>
  </si>
  <si>
    <t>Free Users</t>
  </si>
  <si>
    <t>Solo Users</t>
  </si>
  <si>
    <t>Pro Users</t>
  </si>
  <si>
    <t>Pro+ Users</t>
  </si>
  <si>
    <t>Paying Users</t>
  </si>
  <si>
    <t>Tier Check</t>
  </si>
  <si>
    <t>Solo Revenue</t>
  </si>
  <si>
    <t>Pro Revenue</t>
  </si>
  <si>
    <t>Pro+ Revenue</t>
  </si>
  <si>
    <t>Add-on Revenue</t>
  </si>
  <si>
    <t>Gross Revenue</t>
  </si>
  <si>
    <t>Failed Payments</t>
  </si>
  <si>
    <t>Effective Revenue</t>
  </si>
  <si>
    <t>Payment Processing</t>
  </si>
  <si>
    <t>VAT Collected</t>
  </si>
  <si>
    <t>Revenue Net of VAT</t>
  </si>
  <si>
    <t>Revenue Net of All</t>
  </si>
  <si>
    <t>ARPU (paying, gross)</t>
  </si>
  <si>
    <t>MRR</t>
  </si>
  <si>
    <t>ARR</t>
  </si>
  <si>
    <t>Y1 Gross Revenue</t>
  </si>
  <si>
    <t>Y2 Gross Revenue</t>
  </si>
  <si>
    <t>Y3 Gross Revenue</t>
  </si>
  <si>
    <t>Y1 End Users</t>
  </si>
  <si>
    <t>Y2 End Users</t>
  </si>
  <si>
    <t>Y3 End Users</t>
  </si>
  <si>
    <t>Y3 ARR</t>
  </si>
  <si>
    <t>Cost Model</t>
  </si>
  <si>
    <t>Total Users</t>
  </si>
  <si>
    <t>Messages (Paying)</t>
  </si>
  <si>
    <t>Messages (Free)</t>
  </si>
  <si>
    <t>Total Messages</t>
  </si>
  <si>
    <t>Total Input Tokens (M)</t>
  </si>
  <si>
    <t>Total Output Tokens (M)</t>
  </si>
  <si>
    <t>AI Price Factor</t>
  </si>
  <si>
    <t>Blended Input Price (USD/1M)</t>
  </si>
  <si>
    <t>Blended Output Price (USD/1M)</t>
  </si>
  <si>
    <t>Total AI Cost (CHF)</t>
  </si>
  <si>
    <t>Conversations</t>
  </si>
  <si>
    <t>Payment Processing (CHF)</t>
  </si>
  <si>
    <t>Storage Cost (CHF)</t>
  </si>
  <si>
    <t>Total Variable Costs</t>
  </si>
  <si>
    <t>Variable Cost per User</t>
  </si>
  <si>
    <t>Variable Cost per Paying User</t>
  </si>
  <si>
    <t>Cost of Free Users</t>
  </si>
  <si>
    <t>Co-founder 1</t>
  </si>
  <si>
    <t>Co-founder 2</t>
  </si>
  <si>
    <t>CTO / Engineering</t>
  </si>
  <si>
    <t>Community / Intern</t>
  </si>
  <si>
    <t>Total Gross Salaries</t>
  </si>
  <si>
    <t>Social Charges</t>
  </si>
  <si>
    <t>Total People Cost</t>
  </si>
  <si>
    <t>Total Other Fixed</t>
  </si>
  <si>
    <t>Total Fixed Costs</t>
  </si>
  <si>
    <t>Formation Fees</t>
  </si>
  <si>
    <t>Total One-Time</t>
  </si>
  <si>
    <t>Contingency</t>
  </si>
  <si>
    <t>Total Monthly Costs</t>
  </si>
  <si>
    <t>Total Costs excl One-Time</t>
  </si>
  <si>
    <t>Y1 Total Costs</t>
  </si>
  <si>
    <t>Y2 Total Costs</t>
  </si>
  <si>
    <t>Y3 Total Costs</t>
  </si>
  <si>
    <t>Unit Economics</t>
  </si>
  <si>
    <t>COGS per Paying User</t>
  </si>
  <si>
    <t>COGS per User (all)</t>
  </si>
  <si>
    <t>Cost of Free Users (total)</t>
  </si>
  <si>
    <t>Cost of Free Users (per free user)</t>
  </si>
  <si>
    <t>Total COGS</t>
  </si>
  <si>
    <t>Gross Profit</t>
  </si>
  <si>
    <t>Gross Margin %</t>
  </si>
  <si>
    <t>Marketing Spend</t>
  </si>
  <si>
    <t>Co-founder Time (acq share)</t>
  </si>
  <si>
    <t>Total Acquisition Cost</t>
  </si>
  <si>
    <t>New Paying Users This Month</t>
  </si>
  <si>
    <t>Fully Loaded CAC</t>
  </si>
  <si>
    <t>ARPU</t>
  </si>
  <si>
    <t>LTV</t>
  </si>
  <si>
    <t>LTV/CAC Ratio</t>
  </si>
  <si>
    <t>Y1 Avg Gross Margin %</t>
  </si>
  <si>
    <t>Y2 Avg Gross Margin %</t>
  </si>
  <si>
    <t>Y3 Avg Gross Margin %</t>
  </si>
  <si>
    <t>Y1 Avg CAC</t>
  </si>
  <si>
    <t>Y3 LTV/CAC</t>
  </si>
  <si>
    <t>Y3 ARPU</t>
  </si>
  <si>
    <t>Profit &amp; Loss</t>
  </si>
  <si>
    <t>Net Revenue</t>
  </si>
  <si>
    <t>AI Inference</t>
  </si>
  <si>
    <t>Messaging API</t>
  </si>
  <si>
    <t>Storage</t>
  </si>
  <si>
    <t>GROSS PROFIT</t>
  </si>
  <si>
    <t>People Costs</t>
  </si>
  <si>
    <t>Legal</t>
  </si>
  <si>
    <t>Infrastructure</t>
  </si>
  <si>
    <t>Insurance</t>
  </si>
  <si>
    <t>Accounting + Compliance</t>
  </si>
  <si>
    <t>Total OpEx</t>
  </si>
  <si>
    <t>TOTAL EXPENSES</t>
  </si>
  <si>
    <t>EBITDA</t>
  </si>
  <si>
    <t>Pre-Tax Income</t>
  </si>
  <si>
    <t>Cumulative Pre-Tax Income</t>
  </si>
  <si>
    <t>Corporate Tax</t>
  </si>
  <si>
    <t>NET INCOME (LOSS)</t>
  </si>
  <si>
    <t>Y1 Net Revenue</t>
  </si>
  <si>
    <t>Y2 Net Revenue</t>
  </si>
  <si>
    <t>Y3 Net Revenue</t>
  </si>
  <si>
    <t>Y1 EBITDA</t>
  </si>
  <si>
    <t>Y2 EBITDA</t>
  </si>
  <si>
    <t>Y3 EBITDA</t>
  </si>
  <si>
    <t>Y1 Net Income</t>
  </si>
  <si>
    <t>Y2 Net Income</t>
  </si>
  <si>
    <t>Y3 Net Income</t>
  </si>
  <si>
    <t>Cash Flow</t>
  </si>
  <si>
    <t>Revenue Cash In</t>
  </si>
  <si>
    <t>Total Costs Out</t>
  </si>
  <si>
    <t>VAT Remitted</t>
  </si>
  <si>
    <t>Corporate Tax Paid</t>
  </si>
  <si>
    <t>Round 2 Injection</t>
  </si>
  <si>
    <t>Net Monthly Cash Flow</t>
  </si>
  <si>
    <t>Opening Cash</t>
  </si>
  <si>
    <t>Closing Cash</t>
  </si>
  <si>
    <t>Cumulative Position</t>
  </si>
  <si>
    <t>Monthly Burn Rate</t>
  </si>
  <si>
    <t>Months of Runway</t>
  </si>
  <si>
    <t>Cash Flow Positive?</t>
  </si>
  <si>
    <t>Cash Depleted?</t>
  </si>
  <si>
    <t>Y1 Total Cash In</t>
  </si>
  <si>
    <t>Y1 Total Cash Out</t>
  </si>
  <si>
    <t>Y1 End Cash Position</t>
  </si>
  <si>
    <t>Y2 End Cash Position</t>
  </si>
  <si>
    <t>Y3 End Cash Position</t>
  </si>
  <si>
    <t>Months to Breakeven</t>
  </si>
  <si>
    <t>(chart helper)</t>
  </si>
  <si>
    <t>SCENARIO COMPARISON</t>
  </si>
  <si>
    <t>Conservative</t>
  </si>
  <si>
    <t>Base</t>
  </si>
  <si>
    <t>Optimistic</t>
  </si>
  <si>
    <t>Growth Multiplier</t>
  </si>
  <si>
    <t>Churn Multiplier</t>
  </si>
  <si>
    <t>1. Set Assumptions!B2 to 1 (Conservative), copy col C → paste values into col B</t>
  </si>
  <si>
    <t>2. Set to 2 (Base), leave col C as formulas. Set to 3, copy col C → paste values into col D.</t>
  </si>
  <si>
    <t>Y1 End Paying Users</t>
  </si>
  <si>
    <t>Y3 End Paying Users</t>
  </si>
  <si>
    <t>Y3 MRR</t>
  </si>
  <si>
    <t>Starting Cash</t>
  </si>
  <si>
    <t>Y1 End Cash</t>
  </si>
  <si>
    <t>Y2 End Cash</t>
  </si>
  <si>
    <t>Y3 End Cash</t>
  </si>
  <si>
    <t>Runway at Y1 End (months)</t>
  </si>
  <si>
    <t>ARPU (CHF/mo)</t>
  </si>
  <si>
    <t>LTV (CHF)</t>
  </si>
  <si>
    <t>CAC (CHF)</t>
  </si>
  <si>
    <t>LTV/CAC</t>
  </si>
  <si>
    <t>--- CHART DATA (Revenue) ---</t>
  </si>
  <si>
    <t>Y1 Revenue</t>
  </si>
  <si>
    <t>Y2 Revenue</t>
  </si>
  <si>
    <t>Y3 Revenue</t>
  </si>
  <si>
    <t>--- CHART DATA (Cash) ---</t>
  </si>
  <si>
    <t>Company Formation Fees</t>
  </si>
  <si>
    <t>Company Share Capital</t>
  </si>
  <si>
    <t>Fast Model Fraction</t>
  </si>
  <si>
    <t>Fast Model Input Price (USD/1M)</t>
  </si>
  <si>
    <t>Fast Model Output Price (USD/1M)</t>
  </si>
  <si>
    <t>Smart Model Input Price (USD/1M)</t>
  </si>
  <si>
    <t>Smart Model Output Price (USD/1M)</t>
  </si>
  <si>
    <t>Messaging API Cost per Conversation (CHF)</t>
  </si>
  <si>
    <t>International Launch Month</t>
  </si>
  <si>
    <t>International Market Size</t>
  </si>
  <si>
    <t>Cross-border WOM Multiplier</t>
  </si>
  <si>
    <t>Office / Coworking</t>
  </si>
  <si>
    <t>IT Equipment / Hardware</t>
  </si>
  <si>
    <t>GPU / Self-hosted AI</t>
  </si>
  <si>
    <t>Architecture &amp; Tech Review</t>
  </si>
  <si>
    <t>International WOM Users</t>
  </si>
  <si>
    <t>International Ceiling</t>
  </si>
  <si>
    <t>Cumulative Intl Users</t>
  </si>
  <si>
    <t>Total New Users (CH + Intl)</t>
  </si>
  <si>
    <t>PRICING MODEL</t>
  </si>
  <si>
    <t>What's included in each tier</t>
  </si>
  <si>
    <t>Feature</t>
  </si>
  <si>
    <t>Free</t>
  </si>
  <si>
    <t>Solo — CHF 15/mo</t>
  </si>
  <si>
    <t>Pro — CHF 35/mo</t>
  </si>
  <si>
    <t>Pro+ — CHF 55/mo</t>
  </si>
  <si>
    <t>SAFETY</t>
  </si>
  <si>
    <t>Number lookup</t>
  </si>
  <si>
    <t>✓</t>
  </si>
  <si>
    <t>Personal blacklist</t>
  </si>
  <si>
    <t>—</t>
  </si>
  <si>
    <t>Auto-alert on blacklisted</t>
  </si>
  <si>
    <t>Check-in / safety signal</t>
  </si>
  <si>
    <t>MEMORY</t>
  </si>
  <si>
    <t>Client file (basic)</t>
  </si>
  <si>
    <t>Up to 10</t>
  </si>
  <si>
    <t>Up to 50</t>
  </si>
  <si>
    <t>Unlimited</t>
  </si>
  <si>
    <t>Client notes &amp; tags</t>
  </si>
  <si>
    <t>Client history / meeting log</t>
  </si>
  <si>
    <t>Search &amp; recall</t>
  </si>
  <si>
    <t>BOOKING</t>
  </si>
  <si>
    <t>Availability declaration</t>
  </si>
  <si>
    <t>Appointment reminders</t>
  </si>
  <si>
    <t>No-show tracking</t>
  </si>
  <si>
    <t>COLLECTIVE</t>
  </si>
  <si>
    <t>Collective blacklist access</t>
  </si>
  <si>
    <t>Network alerts</t>
  </si>
  <si>
    <t>Reputation data contribution</t>
  </si>
  <si>
    <t>SUPPORT</t>
  </si>
  <si>
    <t>AI interactions per month</t>
  </si>
  <si>
    <t>Priority support</t>
  </si>
  <si>
    <t>BILLING</t>
  </si>
  <si>
    <t>Monthly subscription, cancel anytime. No annual commitment.</t>
  </si>
  <si>
    <t>Payment via credit/debit card. Failed payments retried automatically.</t>
  </si>
  <si>
    <t>Referral program: invite a friend who subscribes, get 1 month free.</t>
  </si>
  <si>
    <t>ADD-ONS (future)</t>
  </si>
  <si>
    <t>Additional coverage packs (Booking, Payments, Compliance) available as add-ons.</t>
  </si>
  <si>
    <t>Pricing TBD from beta feedback.</t>
  </si>
  <si>
    <t>TIER RATIONALE</t>
  </si>
  <si>
    <t>Free: Reduces adoption friction. Limited interactions keep cost of free users low.</t>
  </si>
  <si>
    <t>Solo: Entry point for independents with basic needs.</t>
  </si>
  <si>
    <t>Pro: Target tier. Covers the core validated problems (safety, screening, client memory, no-shows).</t>
  </si>
  <si>
    <t>Pro+: Power user tier. Funds legally sensitive collective features.</t>
  </si>
  <si>
    <t>MAIA</t>
  </si>
  <si>
    <t>Financial Model — Scarlot Coverage Pack</t>
  </si>
  <si>
    <t>v1.0 — April 2026</t>
  </si>
  <si>
    <t>HOW TO USE THIS MODEL</t>
  </si>
  <si>
    <t>1. START WITH ASSUMPTIONS — The Assumptions sheet is the control panel. Every yellow cell is an input you can change. All other sheets are formula-driven — do not edit them directly.</t>
  </si>
  <si>
    <t>2. SCENARIO TOGGLE — Cell B2 on Assumptions controls the scenario: 1=Conservative, 2=Base, 3=Optimistic. The entire model recalculates when you switch.</t>
  </si>
  <si>
    <t>3. MONTHLY VECTORS — Many inputs (salaries, tier mix, churn) can be set month-by-month in columns C–AL. This lets you model ramp-ups and seasonal changes.</t>
  </si>
  <si>
    <t>4. SCENARIO COMPARISON — The Scenarios sheet compares all three. Set toggle to 1, copy values to column B. Set to 2, leave as formulas. Set to 3, copy to column D.</t>
  </si>
  <si>
    <t>5. KEY OUTPUTS — P&amp;L shows profitability. Cash Flow shows runway. Unit Economics shows LTV/CAC (&gt;3 is healthy). Scenarios shows the range.</t>
  </si>
  <si>
    <t>SHEET GUIDE</t>
  </si>
  <si>
    <t>Sheet</t>
  </si>
  <si>
    <t>Purpose</t>
  </si>
  <si>
    <t>Type</t>
  </si>
  <si>
    <t>Key Metric</t>
  </si>
  <si>
    <t>Start Here</t>
  </si>
  <si>
    <t>You are here</t>
  </si>
  <si>
    <t>GUIDE</t>
  </si>
  <si>
    <t>Assumptions</t>
  </si>
  <si>
    <t>All editable inputs</t>
  </si>
  <si>
    <t>INPUT</t>
  </si>
  <si>
    <t>Revenue</t>
  </si>
  <si>
    <t>User growth, tiers, revenue</t>
  </si>
  <si>
    <t>CALCULATED</t>
  </si>
  <si>
    <t>MRR, ARR</t>
  </si>
  <si>
    <t>Costs</t>
  </si>
  <si>
    <t>Fixed + variable + one-time</t>
  </si>
  <si>
    <t>Monthly burn</t>
  </si>
  <si>
    <t>Per-user profitability</t>
  </si>
  <si>
    <t>DERIVED</t>
  </si>
  <si>
    <t>P&amp;L</t>
  </si>
  <si>
    <t>Net Income</t>
  </si>
  <si>
    <t>Cash position &amp; runway</t>
  </si>
  <si>
    <t>Runway months</t>
  </si>
  <si>
    <t>Scenarios</t>
  </si>
  <si>
    <t>Side-by-side comparison</t>
  </si>
  <si>
    <t>SUMMARY</t>
  </si>
  <si>
    <t>Breakeven</t>
  </si>
  <si>
    <t>Pricing</t>
  </si>
  <si>
    <t>What’s in each tier</t>
  </si>
  <si>
    <t>REFERENCE</t>
  </si>
  <si>
    <t>KEY ASSUMPTIONS TO REVIEW</t>
  </si>
  <si>
    <t>Assumption</t>
  </si>
  <si>
    <t>Default</t>
  </si>
  <si>
    <t>Cell</t>
  </si>
  <si>
    <t>Why It Matters</t>
  </si>
  <si>
    <t>Round 1 Raise</t>
  </si>
  <si>
    <t>CHF 120,000</t>
  </si>
  <si>
    <t>Assumptions B5</t>
  </si>
  <si>
    <t>Monthly Churn</t>
  </si>
  <si>
    <t>Assumptions B23</t>
  </si>
  <si>
    <t>Assumptions B25</t>
  </si>
  <si>
    <t>NOTES</t>
  </si>
  <si>
    <t>ROUND 1</t>
  </si>
  <si>
    <t>PRICING</t>
  </si>
  <si>
    <t>USER ACQUISITION</t>
  </si>
  <si>
    <t>TIER MIX</t>
  </si>
  <si>
    <t>CHURN &amp; DEDUCTIONS</t>
  </si>
  <si>
    <t>AI COSTS</t>
  </si>
  <si>
    <t>MESSAGING &amp; STORAGE</t>
  </si>
  <si>
    <t>PEOPLE</t>
  </si>
  <si>
    <t>FIXED COSTS</t>
  </si>
  <si>
    <t>ONE-TIME COSTS</t>
  </si>
  <si>
    <t>MACRO</t>
  </si>
  <si>
    <t>SCENARIO MULTIPLIERS</t>
  </si>
  <si>
    <t>CHURN</t>
  </si>
  <si>
    <t>USER TOTALS</t>
  </si>
  <si>
    <t>TIER BREAKDOWN</t>
  </si>
  <si>
    <t>REVENUE</t>
  </si>
  <si>
    <t>DEDUCTIONS</t>
  </si>
  <si>
    <t>METRICS</t>
  </si>
  <si>
    <t>ANNUAL SUMMARY</t>
  </si>
  <si>
    <t>AI INFERENCE</t>
  </si>
  <si>
    <t>MESSAGING API</t>
  </si>
  <si>
    <t>PAYMENT PROCESSING</t>
  </si>
  <si>
    <t>STORAGE</t>
  </si>
  <si>
    <t>VARIABLE COSTS</t>
  </si>
  <si>
    <t>OTHER FIXED COSTS</t>
  </si>
  <si>
    <t>CONTINGENCY</t>
  </si>
  <si>
    <t>TOTAL COSTS</t>
  </si>
  <si>
    <t>PER-USER ECONOMICS</t>
  </si>
  <si>
    <t>MARGINS</t>
  </si>
  <si>
    <t>CUSTOMER ACQUISITION COST</t>
  </si>
  <si>
    <t>LIFETIME VALUE</t>
  </si>
  <si>
    <t>COGS</t>
  </si>
  <si>
    <t>OPERATING EXPENSES</t>
  </si>
  <si>
    <t>BOTTOM LINE</t>
  </si>
  <si>
    <t>CASH FLOW</t>
  </si>
  <si>
    <t>CASH POSITION</t>
  </si>
  <si>
    <t>RUNWAY</t>
  </si>
  <si>
    <t>MILESTONES</t>
  </si>
  <si>
    <t>PARAMETERS</t>
  </si>
  <si>
    <t>HOW TO USE</t>
  </si>
  <si>
    <t>USERS</t>
  </si>
  <si>
    <t>COSTS</t>
  </si>
  <si>
    <t>CASH &amp; RUNWAY</t>
  </si>
  <si>
    <t>UNIT ECONOMICS (Y3)</t>
  </si>
  <si>
    <t>Office / IT / Other</t>
  </si>
  <si>
    <t>Messaging API Cost (CHF)</t>
  </si>
  <si>
    <t>Direct Outreach Messages/mo</t>
  </si>
  <si>
    <t>msgs/mo</t>
  </si>
  <si>
    <t>Outreach Capture Rate</t>
  </si>
  <si>
    <t>Outreach New Users</t>
  </si>
  <si>
    <t>Jun 2026</t>
  </si>
  <si>
    <t>Jul 2026</t>
  </si>
  <si>
    <t>Aug 2026</t>
  </si>
  <si>
    <t>Sep 2026</t>
  </si>
  <si>
    <t>Oct 2026</t>
  </si>
  <si>
    <t>Nov 2026</t>
  </si>
  <si>
    <t>Dec 2026</t>
  </si>
  <si>
    <t>Jan 2027</t>
  </si>
  <si>
    <t>Feb 2027</t>
  </si>
  <si>
    <t>Mar 2027</t>
  </si>
  <si>
    <t>Apr 2027</t>
  </si>
  <si>
    <t>May 2027</t>
  </si>
  <si>
    <t>Jun 2027</t>
  </si>
  <si>
    <t>Jul 2027</t>
  </si>
  <si>
    <t>Aug 2027</t>
  </si>
  <si>
    <t>Sep 2027</t>
  </si>
  <si>
    <t>Oct 2027</t>
  </si>
  <si>
    <t>Nov 2027</t>
  </si>
  <si>
    <t>Dec 2027</t>
  </si>
  <si>
    <t>Jan 2028</t>
  </si>
  <si>
    <t>Feb 2028</t>
  </si>
  <si>
    <t>Mar 2028</t>
  </si>
  <si>
    <t>Apr 2028</t>
  </si>
  <si>
    <t>May 2028</t>
  </si>
  <si>
    <t>Jun 2028</t>
  </si>
  <si>
    <t>Jul 2028</t>
  </si>
  <si>
    <t>Aug 2028</t>
  </si>
  <si>
    <t>Sep 2028</t>
  </si>
  <si>
    <t>Oct 2028</t>
  </si>
  <si>
    <t>Nov 2028</t>
  </si>
  <si>
    <t>Dec 2028</t>
  </si>
  <si>
    <t>Jan 2029</t>
  </si>
  <si>
    <t>Feb 2029</t>
  </si>
  <si>
    <t>Mar 2029</t>
  </si>
  <si>
    <t>Apr 2029</t>
  </si>
  <si>
    <t>May 2029</t>
  </si>
  <si>
    <t>Determines runway. Current model shows ~CHF 36K cash gap at Y1.</t>
  </si>
  <si>
    <t>Assumptions B18</t>
  </si>
  <si>
    <t>Key growth driver. Compounds monthly from M4.</t>
  </si>
  <si>
    <t>Referral Conversion</t>
  </si>
  <si>
    <t>Assumptions B19</t>
  </si>
  <si>
    <t>% of referrals who sign up. Tight community = high conversion.</t>
  </si>
  <si>
    <t>Assumptions B21</t>
  </si>
  <si>
    <t>Automated AI-generated outreach. 5% = 1 in 20 contacted sign up.</t>
  </si>
  <si>
    <t>10% → 7% → 5%</t>
  </si>
  <si>
    <t>Assumptions R35</t>
  </si>
  <si>
    <t>Ramps down: 10% M1-6, 7% M7-12, 5% M13+. Summer bump +2%.</t>
  </si>
  <si>
    <t>Co-founder 1 Salary</t>
  </si>
  <si>
    <t>CHF 5,500/mo from M1</t>
  </si>
  <si>
    <t>Assumptions R56</t>
  </si>
  <si>
    <t>Biggest early fixed cost.</t>
  </si>
  <si>
    <t>CTO Salary</t>
  </si>
  <si>
    <t>CHF 1,800/mo from M7</t>
  </si>
  <si>
    <t>Assumptions R58</t>
  </si>
  <si>
    <t>20% of full-time rate.</t>
  </si>
  <si>
    <t>International Launch</t>
  </si>
  <si>
    <t>Month 6 (Nov 2026)</t>
  </si>
  <si>
    <t>When WOM spills beyond Switzerland. 2x multiplier.</t>
  </si>
  <si>
    <t>Pro+ Price</t>
  </si>
  <si>
    <t>CHF 69/mo</t>
  </si>
  <si>
    <t>Assumptions B13</t>
  </si>
  <si>
    <t>Power user tier. Raised from CHF 55.</t>
  </si>
  <si>
    <t>Market Ceiling FR-CH</t>
  </si>
  <si>
    <t>Growth cap for Swiss market. International unlocks at M6.</t>
  </si>
  <si>
    <t>•  All amounts in CHF. AI costs converted from USD at Assumptions B50.</t>
  </si>
  <si>
    <t>•  Model starts June 2026. Calendar months shown in headers.</t>
  </si>
  <si>
    <t>•  Base case breaks even at month 14 (Aug 2027). Cash gap of ~CHF 36K at Y1 requires raise above CHF 120K or cost cuts.</t>
  </si>
  <si>
    <t>•  International expansion at month 6 is critical — FR-CH ceiling (1,500) is hit before Y2 without it.</t>
  </si>
  <si>
    <t>•  WOM (30% × 30% = 9% effective monthly growth) is the primary growth engine after M4. If this doesn't materialize, the model fails.</t>
  </si>
  <si>
    <t>•  Conservative scenario (toggle = 1) shows the downside with 0.5x growth and 2x churn.</t>
  </si>
  <si>
    <t>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</si>
</sst>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\x"/>
    <numFmt numFmtId="166" formatCode="#,##0.0"/>
    <numFmt numFmtId="167" formatCode="0.00\x"/>
  </numFmts>
  <fonts count="33" x14ac:knownFonts="1">
    <font>
      <sz val="12"/>
      <color theme="1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0000FF"/>
      <name val="Calibri"/>
      <family val="2"/>
    </font>
    <font>
      <sz val="10"/>
      <color rgb="FF00008B"/>
      <name val="Calibri"/>
      <family val="2"/>
    </font>
    <font>
      <sz val="10"/>
      <color rgb="FFD9D9D9"/>
      <name val="Calibri"/>
      <family val="2"/>
    </font>
    <font>
      <i/>
      <sz val="10"/>
      <color rgb="FF666666"/>
      <name val="Calibri"/>
      <family val="2"/>
    </font>
    <font>
      <b/>
      <sz val="10"/>
      <color rgb="FF999999"/>
      <name val="Calibri"/>
      <family val="2"/>
    </font>
    <font>
      <b/>
      <sz val="28"/>
      <color rgb="FF1B2A4A"/>
      <name val="Calibri"/>
      <family val="2"/>
    </font>
    <font>
      <sz val="14"/>
      <color rgb="FF666666"/>
      <name val="Calibri"/>
      <family val="2"/>
    </font>
    <font>
      <sz val="11"/>
      <color rgb="FF999999"/>
      <name val="Calibri"/>
      <family val="2"/>
    </font>
    <font>
      <b/>
      <sz val="14"/>
      <color rgb="FF1B2A4A"/>
      <name val="Calibri"/>
      <family val="2"/>
    </font>
    <font>
      <sz val="11"/>
      <color rgb="FF333333"/>
      <name val="Calibri"/>
      <family val="2"/>
    </font>
    <font>
      <b/>
      <sz val="12"/>
      <color rgb="FFFFFFFF"/>
      <name val="Calibri"/>
      <family val="2"/>
    </font>
    <font>
      <sz val="12"/>
      <color rgb="FF999999"/>
      <name val="Calibri"/>
      <family val="2"/>
    </font>
    <font>
      <b/>
      <sz val="12"/>
      <color rgb="FFD4A017"/>
      <name val="Calibri"/>
      <family val="2"/>
    </font>
    <font>
      <sz val="12"/>
      <color rgb="FF666666"/>
      <name val="Calibri"/>
      <family val="2"/>
    </font>
    <font>
      <b/>
      <sz val="12"/>
      <color rgb="FF1B2A4A"/>
      <name val="Calibri"/>
      <family val="2"/>
    </font>
    <font>
      <sz val="11"/>
      <color rgb="FF555555"/>
      <name val="Calibri"/>
      <family val="2"/>
    </font>
    <font>
      <b/>
      <sz val="18"/>
      <color rgb="FF1B2A4A"/>
      <name val="Calibri"/>
      <family val="2"/>
    </font>
    <font>
      <b/>
      <sz val="10"/>
      <color rgb="FF00008B"/>
      <name val="Calibri"/>
      <family val="2"/>
    </font>
    <font>
      <b/>
      <sz val="10"/>
      <color rgb="FF1B2A4A"/>
      <name val="Calibri"/>
      <family val="2"/>
    </font>
    <font>
      <sz val="10"/>
      <color rgb="FF2E7D32"/>
      <name val="Calibri"/>
      <family val="2"/>
    </font>
    <font>
      <sz val="10"/>
      <color rgb="FFCCCCCC"/>
      <name val="Calibri"/>
      <family val="2"/>
    </font>
    <font>
      <sz val="10"/>
      <color rgb="FF666666"/>
      <name val="Calibri"/>
      <family val="2"/>
    </font>
    <font>
      <sz val="10"/>
      <color rgb="FF444444"/>
      <name val="Calibri"/>
      <family val="2"/>
    </font>
    <font>
      <sz val="12"/>
      <color rgb="FF1B2A4A"/>
      <name val="Calibri"/>
      <family val="2"/>
    </font>
    <font>
      <sz val="10"/>
      <color rgb="FF1B2A4A"/>
      <name val="Calibri"/>
      <family val="2"/>
    </font>
    <font>
      <sz val="12"/>
      <color rgb="FF00000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FFFDE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DF3D7"/>
        <bgColor indexed="64"/>
      </patternFill>
    </fill>
    <fill>
      <patternFill patternType="solid">
        <fgColor rgb="FFF5E6A3"/>
        <bgColor indexed="64"/>
      </patternFill>
    </fill>
    <fill>
      <patternFill patternType="solid">
        <fgColor rgb="FFD4A01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5F5F0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FCDD2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FFAF0"/>
        <bgColor indexed="64"/>
      </patternFill>
    </fill>
    <fill>
      <patternFill patternType="solid">
        <fgColor rgb="FFF0FFF0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D4A017"/>
      </bottom>
      <diagonal/>
    </border>
    <border>
      <left/>
      <right/>
      <top style="hair">
        <color rgb="FFE8E8E8"/>
      </top>
      <bottom style="hair">
        <color rgb="FFE8E8E8"/>
      </bottom>
      <diagonal/>
    </border>
    <border>
      <left/>
      <right/>
      <top style="hair">
        <color rgb="FFE8E8E8"/>
      </top>
      <bottom/>
      <diagonal/>
    </border>
    <border>
      <left/>
      <right/>
      <top style="hair">
        <color rgb="FFE8E8E8"/>
      </top>
      <bottom style="medium">
        <color rgb="FFD4A017"/>
      </bottom>
      <diagonal/>
    </border>
    <border>
      <left style="thin">
        <color rgb="FFD4A017"/>
      </left>
      <right/>
      <top/>
      <bottom style="medium">
        <color rgb="FFD4A017"/>
      </bottom>
      <diagonal/>
    </border>
    <border>
      <left style="thin">
        <color rgb="FFD4A017"/>
      </left>
      <right/>
      <top/>
      <bottom/>
      <diagonal/>
    </border>
    <border>
      <left style="thin">
        <color rgb="FFD4A017"/>
      </left>
      <right/>
      <top style="hair">
        <color rgb="FFE8E8E8"/>
      </top>
      <bottom/>
      <diagonal/>
    </border>
    <border>
      <left style="thin">
        <color rgb="FFD4A017"/>
      </left>
      <right/>
      <top style="hair">
        <color rgb="FFE8E8E8"/>
      </top>
      <bottom style="hair">
        <color rgb="FFE8E8E8"/>
      </bottom>
      <diagonal/>
    </border>
    <border>
      <left style="thin">
        <color rgb="FFD4A017"/>
      </left>
      <right/>
      <top style="hair">
        <color rgb="FFE8E8E8"/>
      </top>
      <bottom style="medium">
        <color rgb="FFD4A017"/>
      </bottom>
      <diagonal/>
    </border>
    <border>
      <left/>
      <right/>
      <top style="thin">
        <color rgb="FFD4A017"/>
      </top>
      <bottom/>
      <diagonal/>
    </border>
    <border>
      <left/>
      <right/>
      <top/>
      <bottom style="hair">
        <color rgb="FFDDDDDD"/>
      </bottom>
      <diagonal/>
    </border>
    <border>
      <left/>
      <right/>
      <top style="hair">
        <color rgb="FFDDDDDD"/>
      </top>
      <bottom style="hair">
        <color rgb="FFDDDDDD"/>
      </bottom>
      <diagonal/>
    </border>
    <border>
      <left/>
      <right/>
      <top style="hair">
        <color rgb="FFDDDDDD"/>
      </top>
      <bottom/>
      <diagonal/>
    </border>
    <border>
      <left/>
      <right/>
      <top/>
      <bottom style="thin">
        <color rgb="FFD4A017"/>
      </bottom>
      <diagonal/>
    </border>
    <border>
      <left/>
      <right/>
      <top style="thin">
        <color auto="1"/>
      </top>
      <bottom style="thin">
        <color rgb="FFD4A017"/>
      </bottom>
      <diagonal/>
    </border>
    <border>
      <left/>
      <right/>
      <top style="medium">
        <color auto="1"/>
      </top>
      <bottom/>
      <diagonal/>
    </border>
    <border>
      <left/>
      <right/>
      <top style="hair">
        <color rgb="FFE0D8C0"/>
      </top>
      <bottom style="hair">
        <color rgb="FFE0D8C0"/>
      </bottom>
      <diagonal/>
    </border>
    <border>
      <left/>
      <right/>
      <top style="hair">
        <color rgb="FFE0D8C0"/>
      </top>
      <bottom/>
      <diagonal/>
    </border>
    <border>
      <left/>
      <right/>
      <top/>
      <bottom style="hair">
        <color rgb="FFE0D8C0"/>
      </bottom>
      <diagonal/>
    </border>
    <border>
      <left/>
      <right/>
      <top style="medium">
        <color auto="1"/>
      </top>
      <bottom style="thin">
        <color rgb="FFD4A017"/>
      </bottom>
      <diagonal/>
    </border>
    <border>
      <left/>
      <right/>
      <top style="double">
        <color rgb="FF1B2A4A"/>
      </top>
      <bottom style="thin">
        <color rgb="FFD4A017"/>
      </bottom>
      <diagonal/>
    </border>
    <border>
      <left/>
      <right/>
      <top style="thin">
        <color rgb="FF808080"/>
      </top>
      <bottom style="thin">
        <color rgb="FFD4A017"/>
      </bottom>
      <diagonal/>
    </border>
    <border>
      <left/>
      <right/>
      <top style="double">
        <color rgb="FF1B2A4A"/>
      </top>
      <bottom/>
      <diagonal/>
    </border>
    <border>
      <left/>
      <right/>
      <top style="thin">
        <color rgb="FFDDDDDD"/>
      </top>
      <bottom/>
      <diagonal/>
    </border>
    <border>
      <left/>
      <right/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89">
    <xf numFmtId="0" fontId="0" fillId="0" borderId="0" xfId="0"/>
    <xf numFmtId="0" fontId="4" fillId="0" borderId="0" xfId="0" applyFont="1"/>
    <xf numFmtId="0" fontId="6" fillId="0" borderId="0" xfId="0" applyFont="1"/>
    <xf numFmtId="3" fontId="7" fillId="2" borderId="0" xfId="0" applyNumberFormat="1" applyFont="1" applyFill="1"/>
    <xf numFmtId="3" fontId="6" fillId="0" borderId="0" xfId="0" applyNumberFormat="1" applyFont="1"/>
    <xf numFmtId="164" fontId="7" fillId="2" borderId="0" xfId="0" applyNumberFormat="1" applyFont="1" applyFill="1"/>
    <xf numFmtId="2" fontId="7" fillId="2" borderId="0" xfId="0" applyNumberFormat="1" applyFont="1" applyFill="1"/>
    <xf numFmtId="164" fontId="6" fillId="0" borderId="0" xfId="0" applyNumberFormat="1" applyFont="1"/>
    <xf numFmtId="0" fontId="3" fillId="0" borderId="0" xfId="0" applyFont="1"/>
    <xf numFmtId="4" fontId="6" fillId="0" borderId="0" xfId="0" applyNumberFormat="1" applyFont="1"/>
    <xf numFmtId="0" fontId="5" fillId="0" borderId="0" xfId="0" applyFont="1"/>
    <xf numFmtId="165" fontId="6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4" fillId="0" borderId="12" xfId="0" applyFont="1" applyBorder="1"/>
    <xf numFmtId="0" fontId="15" fillId="0" borderId="0" xfId="0" applyFont="1"/>
    <xf numFmtId="0" fontId="16" fillId="0" borderId="0" xfId="0" applyFont="1" applyAlignment="1">
      <alignment vertical="top" wrapText="1"/>
    </xf>
    <xf numFmtId="0" fontId="17" fillId="8" borderId="13" xfId="0" applyFont="1" applyFill="1" applyBorder="1" applyAlignment="1">
      <alignment horizontal="left"/>
    </xf>
    <xf numFmtId="0" fontId="4" fillId="9" borderId="14" xfId="0" applyFont="1" applyFill="1" applyBorder="1"/>
    <xf numFmtId="0" fontId="18" fillId="9" borderId="14" xfId="0" applyFont="1" applyFill="1" applyBorder="1"/>
    <xf numFmtId="0" fontId="4" fillId="0" borderId="14" xfId="0" applyFont="1" applyBorder="1"/>
    <xf numFmtId="0" fontId="19" fillId="0" borderId="14" xfId="0" applyFont="1" applyBorder="1"/>
    <xf numFmtId="0" fontId="18" fillId="0" borderId="14" xfId="0" applyFont="1" applyBorder="1"/>
    <xf numFmtId="0" fontId="20" fillId="9" borderId="14" xfId="0" applyFont="1" applyFill="1" applyBorder="1"/>
    <xf numFmtId="0" fontId="20" fillId="0" borderId="14" xfId="0" applyFont="1" applyBorder="1"/>
    <xf numFmtId="0" fontId="17" fillId="8" borderId="13" xfId="0" applyFont="1" applyFill="1" applyBorder="1"/>
    <xf numFmtId="0" fontId="4" fillId="0" borderId="0" xfId="0" applyFont="1" applyBorder="1"/>
    <xf numFmtId="0" fontId="21" fillId="0" borderId="0" xfId="0" applyFont="1"/>
    <xf numFmtId="0" fontId="22" fillId="0" borderId="0" xfId="0" applyFont="1" applyAlignment="1">
      <alignment wrapText="1"/>
    </xf>
    <xf numFmtId="0" fontId="23" fillId="0" borderId="0" xfId="0" applyFont="1"/>
    <xf numFmtId="0" fontId="21" fillId="0" borderId="3" xfId="0" applyFont="1" applyBorder="1"/>
    <xf numFmtId="0" fontId="21" fillId="0" borderId="3" xfId="0" applyFont="1" applyBorder="1" applyAlignment="1">
      <alignment horizontal="center"/>
    </xf>
    <xf numFmtId="0" fontId="21" fillId="4" borderId="3" xfId="0" applyFont="1" applyFill="1" applyBorder="1" applyAlignment="1">
      <alignment horizontal="center"/>
    </xf>
    <xf numFmtId="0" fontId="21" fillId="5" borderId="3" xfId="0" applyFont="1" applyFill="1" applyBorder="1" applyAlignment="1">
      <alignment horizontal="center"/>
    </xf>
    <xf numFmtId="0" fontId="17" fillId="6" borderId="7" xfId="0" applyFont="1" applyFill="1" applyBorder="1" applyAlignment="1">
      <alignment horizontal="center"/>
    </xf>
    <xf numFmtId="0" fontId="21" fillId="7" borderId="0" xfId="0" applyFont="1" applyFill="1"/>
    <xf numFmtId="0" fontId="6" fillId="0" borderId="0" xfId="0" applyFont="1" applyAlignment="1">
      <alignment horizontal="left"/>
    </xf>
    <xf numFmtId="0" fontId="7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164" fontId="7" fillId="2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/>
    </xf>
    <xf numFmtId="3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center"/>
    </xf>
    <xf numFmtId="4" fontId="5" fillId="0" borderId="0" xfId="0" applyNumberFormat="1" applyFont="1" applyAlignment="1">
      <alignment horizontal="center"/>
    </xf>
    <xf numFmtId="4" fontId="5" fillId="0" borderId="2" xfId="0" applyNumberFormat="1" applyFont="1" applyBorder="1" applyAlignment="1">
      <alignment horizontal="center"/>
    </xf>
    <xf numFmtId="0" fontId="5" fillId="0" borderId="0" xfId="0" applyFont="1" applyFill="1" applyBorder="1" applyAlignment="1">
      <alignment horizontal="left"/>
    </xf>
    <xf numFmtId="165" fontId="6" fillId="0" borderId="0" xfId="0" applyNumberFormat="1" applyFont="1" applyAlignment="1">
      <alignment horizontal="center"/>
    </xf>
    <xf numFmtId="4" fontId="8" fillId="0" borderId="0" xfId="0" applyNumberFormat="1" applyFont="1" applyAlignment="1">
      <alignment horizontal="center"/>
    </xf>
    <xf numFmtId="0" fontId="9" fillId="0" borderId="0" xfId="0" applyFont="1" applyAlignment="1">
      <alignment horizontal="left"/>
    </xf>
    <xf numFmtId="166" fontId="6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21" fillId="10" borderId="16" xfId="0" applyFont="1" applyFill="1" applyBorder="1" applyAlignment="1">
      <alignment horizontal="left"/>
    </xf>
    <xf numFmtId="0" fontId="21" fillId="10" borderId="16" xfId="0" applyFont="1" applyFill="1" applyBorder="1"/>
    <xf numFmtId="0" fontId="21" fillId="10" borderId="16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3" fontId="6" fillId="11" borderId="0" xfId="0" applyNumberFormat="1" applyFont="1" applyFill="1"/>
    <xf numFmtId="0" fontId="5" fillId="7" borderId="0" xfId="0" applyFont="1" applyFill="1" applyBorder="1" applyAlignment="1">
      <alignment horizontal="center"/>
    </xf>
    <xf numFmtId="0" fontId="7" fillId="12" borderId="18" xfId="0" applyFont="1" applyFill="1" applyBorder="1"/>
    <xf numFmtId="0" fontId="7" fillId="12" borderId="19" xfId="0" applyFont="1" applyFill="1" applyBorder="1"/>
    <xf numFmtId="0" fontId="21" fillId="10" borderId="0" xfId="0" applyFont="1" applyFill="1" applyBorder="1"/>
    <xf numFmtId="3" fontId="7" fillId="12" borderId="12" xfId="0" applyNumberFormat="1" applyFont="1" applyFill="1" applyBorder="1"/>
    <xf numFmtId="3" fontId="7" fillId="12" borderId="19" xfId="0" applyNumberFormat="1" applyFont="1" applyFill="1" applyBorder="1"/>
    <xf numFmtId="3" fontId="7" fillId="12" borderId="20" xfId="0" applyNumberFormat="1" applyFont="1" applyFill="1" applyBorder="1"/>
    <xf numFmtId="3" fontId="7" fillId="12" borderId="0" xfId="0" applyNumberFormat="1" applyFont="1" applyFill="1" applyBorder="1"/>
    <xf numFmtId="164" fontId="7" fillId="12" borderId="0" xfId="0" applyNumberFormat="1" applyFont="1" applyFill="1" applyBorder="1"/>
    <xf numFmtId="164" fontId="7" fillId="12" borderId="19" xfId="0" applyNumberFormat="1" applyFont="1" applyFill="1" applyBorder="1"/>
    <xf numFmtId="165" fontId="7" fillId="12" borderId="19" xfId="0" applyNumberFormat="1" applyFont="1" applyFill="1" applyBorder="1"/>
    <xf numFmtId="0" fontId="6" fillId="12" borderId="21" xfId="0" applyFont="1" applyFill="1" applyBorder="1"/>
    <xf numFmtId="2" fontId="7" fillId="12" borderId="19" xfId="0" applyNumberFormat="1" applyFont="1" applyFill="1" applyBorder="1"/>
    <xf numFmtId="2" fontId="7" fillId="12" borderId="20" xfId="0" applyNumberFormat="1" applyFont="1" applyFill="1" applyBorder="1"/>
    <xf numFmtId="0" fontId="21" fillId="12" borderId="19" xfId="0" applyFont="1" applyFill="1" applyBorder="1"/>
    <xf numFmtId="0" fontId="21" fillId="12" borderId="20" xfId="0" applyFont="1" applyFill="1" applyBorder="1"/>
    <xf numFmtId="164" fontId="7" fillId="12" borderId="20" xfId="0" applyNumberFormat="1" applyFont="1" applyFill="1" applyBorder="1"/>
    <xf numFmtId="0" fontId="6" fillId="12" borderId="19" xfId="0" applyFont="1" applyFill="1" applyBorder="1"/>
    <xf numFmtId="0" fontId="6" fillId="12" borderId="20" xfId="0" applyFont="1" applyFill="1" applyBorder="1"/>
    <xf numFmtId="0" fontId="6" fillId="12" borderId="0" xfId="0" applyFont="1" applyFill="1" applyBorder="1"/>
    <xf numFmtId="2" fontId="7" fillId="12" borderId="12" xfId="0" applyNumberFormat="1" applyFont="1" applyFill="1" applyBorder="1"/>
    <xf numFmtId="0" fontId="7" fillId="12" borderId="0" xfId="0" applyFont="1" applyFill="1" applyAlignment="1">
      <alignment horizontal="center"/>
    </xf>
    <xf numFmtId="2" fontId="7" fillId="12" borderId="0" xfId="0" applyNumberFormat="1" applyFont="1" applyFill="1" applyAlignment="1">
      <alignment horizontal="center"/>
    </xf>
    <xf numFmtId="0" fontId="6" fillId="12" borderId="0" xfId="0" applyFont="1" applyFill="1" applyAlignment="1">
      <alignment horizontal="center"/>
    </xf>
    <xf numFmtId="164" fontId="7" fillId="12" borderId="0" xfId="0" applyNumberFormat="1" applyFont="1" applyFill="1" applyAlignment="1">
      <alignment horizontal="center"/>
    </xf>
    <xf numFmtId="3" fontId="7" fillId="12" borderId="0" xfId="0" applyNumberFormat="1" applyFont="1" applyFill="1" applyAlignment="1">
      <alignment horizontal="center"/>
    </xf>
    <xf numFmtId="0" fontId="21" fillId="10" borderId="22" xfId="0" applyFont="1" applyFill="1" applyBorder="1" applyAlignment="1">
      <alignment horizontal="left"/>
    </xf>
    <xf numFmtId="0" fontId="21" fillId="10" borderId="22" xfId="0" applyFont="1" applyFill="1" applyBorder="1"/>
    <xf numFmtId="0" fontId="21" fillId="10" borderId="22" xfId="0" applyFont="1" applyFill="1" applyBorder="1" applyAlignment="1">
      <alignment horizontal="center"/>
    </xf>
    <xf numFmtId="0" fontId="5" fillId="13" borderId="0" xfId="0" applyFont="1" applyFill="1" applyAlignment="1">
      <alignment horizontal="left"/>
    </xf>
    <xf numFmtId="0" fontId="5" fillId="13" borderId="0" xfId="0" applyFont="1" applyFill="1"/>
    <xf numFmtId="3" fontId="5" fillId="13" borderId="0" xfId="0" applyNumberFormat="1" applyFont="1" applyFill="1" applyAlignment="1">
      <alignment horizontal="center"/>
    </xf>
    <xf numFmtId="4" fontId="5" fillId="13" borderId="0" xfId="0" applyNumberFormat="1" applyFont="1" applyFill="1" applyAlignment="1">
      <alignment horizontal="center"/>
    </xf>
    <xf numFmtId="0" fontId="21" fillId="10" borderId="0" xfId="0" applyFont="1" applyFill="1" applyBorder="1" applyAlignment="1">
      <alignment horizontal="left"/>
    </xf>
    <xf numFmtId="0" fontId="5" fillId="13" borderId="0" xfId="0" applyFont="1" applyFill="1" applyBorder="1" applyAlignment="1">
      <alignment horizontal="left"/>
    </xf>
    <xf numFmtId="0" fontId="5" fillId="13" borderId="0" xfId="0" applyFont="1" applyFill="1" applyBorder="1"/>
    <xf numFmtId="3" fontId="5" fillId="13" borderId="0" xfId="0" applyNumberFormat="1" applyFont="1" applyFill="1" applyBorder="1" applyAlignment="1">
      <alignment horizontal="center"/>
    </xf>
    <xf numFmtId="0" fontId="5" fillId="13" borderId="12" xfId="0" applyFont="1" applyFill="1" applyBorder="1" applyAlignment="1">
      <alignment horizontal="left"/>
    </xf>
    <xf numFmtId="0" fontId="5" fillId="13" borderId="12" xfId="0" applyFont="1" applyFill="1" applyBorder="1"/>
    <xf numFmtId="3" fontId="5" fillId="13" borderId="12" xfId="0" applyNumberFormat="1" applyFont="1" applyFill="1" applyBorder="1" applyAlignment="1">
      <alignment horizontal="center"/>
    </xf>
    <xf numFmtId="0" fontId="21" fillId="10" borderId="0" xfId="0" applyFont="1" applyFill="1" applyBorder="1" applyAlignment="1">
      <alignment horizontal="center"/>
    </xf>
    <xf numFmtId="0" fontId="5" fillId="13" borderId="23" xfId="0" applyFont="1" applyFill="1" applyBorder="1" applyAlignment="1">
      <alignment horizontal="left"/>
    </xf>
    <xf numFmtId="0" fontId="5" fillId="13" borderId="23" xfId="0" applyFont="1" applyFill="1" applyBorder="1"/>
    <xf numFmtId="3" fontId="5" fillId="13" borderId="23" xfId="0" applyNumberFormat="1" applyFont="1" applyFill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6" fillId="0" borderId="0" xfId="0" applyFont="1" applyBorder="1"/>
    <xf numFmtId="164" fontId="6" fillId="0" borderId="0" xfId="0" applyNumberFormat="1" applyFont="1" applyBorder="1" applyAlignment="1">
      <alignment horizontal="center"/>
    </xf>
    <xf numFmtId="0" fontId="21" fillId="10" borderId="24" xfId="0" applyFont="1" applyFill="1" applyBorder="1" applyAlignment="1">
      <alignment horizontal="left"/>
    </xf>
    <xf numFmtId="0" fontId="21" fillId="10" borderId="24" xfId="0" applyFont="1" applyFill="1" applyBorder="1"/>
    <xf numFmtId="0" fontId="21" fillId="10" borderId="24" xfId="0" applyFont="1" applyFill="1" applyBorder="1" applyAlignment="1">
      <alignment horizontal="center"/>
    </xf>
    <xf numFmtId="0" fontId="6" fillId="11" borderId="0" xfId="0" applyFont="1" applyFill="1" applyAlignment="1">
      <alignment horizontal="left"/>
    </xf>
    <xf numFmtId="0" fontId="6" fillId="11" borderId="0" xfId="0" applyFont="1" applyFill="1"/>
    <xf numFmtId="0" fontId="5" fillId="11" borderId="0" xfId="0" applyFont="1" applyFill="1" applyAlignment="1">
      <alignment horizontal="left"/>
    </xf>
    <xf numFmtId="0" fontId="5" fillId="11" borderId="0" xfId="0" applyFont="1" applyFill="1"/>
    <xf numFmtId="4" fontId="24" fillId="11" borderId="0" xfId="0" applyNumberFormat="1" applyFont="1" applyFill="1" applyAlignment="1">
      <alignment horizontal="center"/>
    </xf>
    <xf numFmtId="0" fontId="5" fillId="13" borderId="17" xfId="0" applyFont="1" applyFill="1" applyBorder="1" applyAlignment="1">
      <alignment horizontal="left"/>
    </xf>
    <xf numFmtId="0" fontId="5" fillId="13" borderId="17" xfId="0" applyFont="1" applyFill="1" applyBorder="1"/>
    <xf numFmtId="4" fontId="5" fillId="13" borderId="17" xfId="0" applyNumberFormat="1" applyFont="1" applyFill="1" applyBorder="1" applyAlignment="1">
      <alignment horizontal="center"/>
    </xf>
    <xf numFmtId="0" fontId="5" fillId="0" borderId="25" xfId="0" applyFont="1" applyBorder="1" applyAlignment="1">
      <alignment horizontal="left"/>
    </xf>
    <xf numFmtId="0" fontId="5" fillId="0" borderId="25" xfId="0" applyFont="1" applyBorder="1"/>
    <xf numFmtId="4" fontId="5" fillId="0" borderId="25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4" fontId="3" fillId="0" borderId="0" xfId="0" applyNumberFormat="1" applyFont="1" applyAlignment="1">
      <alignment horizontal="center"/>
    </xf>
    <xf numFmtId="4" fontId="7" fillId="11" borderId="0" xfId="0" applyNumberFormat="1" applyFont="1" applyFill="1" applyAlignment="1">
      <alignment horizontal="center"/>
    </xf>
    <xf numFmtId="0" fontId="5" fillId="14" borderId="0" xfId="0" applyFont="1" applyFill="1" applyAlignment="1">
      <alignment horizontal="center"/>
    </xf>
    <xf numFmtId="0" fontId="5" fillId="15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165" fontId="6" fillId="17" borderId="0" xfId="0" applyNumberFormat="1" applyFont="1" applyFill="1"/>
    <xf numFmtId="0" fontId="6" fillId="17" borderId="0" xfId="0" applyFont="1" applyFill="1"/>
    <xf numFmtId="3" fontId="6" fillId="17" borderId="0" xfId="0" applyNumberFormat="1" applyFont="1" applyFill="1"/>
    <xf numFmtId="166" fontId="6" fillId="17" borderId="0" xfId="0" applyNumberFormat="1" applyFont="1" applyFill="1"/>
    <xf numFmtId="164" fontId="6" fillId="17" borderId="0" xfId="0" applyNumberFormat="1" applyFont="1" applyFill="1"/>
    <xf numFmtId="4" fontId="6" fillId="17" borderId="0" xfId="0" applyNumberFormat="1" applyFont="1" applyFill="1"/>
    <xf numFmtId="167" fontId="6" fillId="17" borderId="0" xfId="0" applyNumberFormat="1" applyFont="1" applyFill="1"/>
    <xf numFmtId="165" fontId="6" fillId="18" borderId="0" xfId="0" applyNumberFormat="1" applyFont="1" applyFill="1"/>
    <xf numFmtId="0" fontId="6" fillId="18" borderId="0" xfId="0" applyFont="1" applyFill="1"/>
    <xf numFmtId="3" fontId="6" fillId="18" borderId="0" xfId="0" applyNumberFormat="1" applyFont="1" applyFill="1"/>
    <xf numFmtId="166" fontId="6" fillId="18" borderId="0" xfId="0" applyNumberFormat="1" applyFont="1" applyFill="1"/>
    <xf numFmtId="164" fontId="6" fillId="18" borderId="0" xfId="0" applyNumberFormat="1" applyFont="1" applyFill="1"/>
    <xf numFmtId="4" fontId="6" fillId="18" borderId="0" xfId="0" applyNumberFormat="1" applyFont="1" applyFill="1"/>
    <xf numFmtId="167" fontId="6" fillId="18" borderId="0" xfId="0" applyNumberFormat="1" applyFont="1" applyFill="1"/>
    <xf numFmtId="165" fontId="6" fillId="19" borderId="0" xfId="0" applyNumberFormat="1" applyFont="1" applyFill="1"/>
    <xf numFmtId="0" fontId="6" fillId="19" borderId="0" xfId="0" applyFont="1" applyFill="1"/>
    <xf numFmtId="3" fontId="6" fillId="19" borderId="0" xfId="0" applyNumberFormat="1" applyFont="1" applyFill="1"/>
    <xf numFmtId="166" fontId="6" fillId="19" borderId="0" xfId="0" applyNumberFormat="1" applyFont="1" applyFill="1"/>
    <xf numFmtId="164" fontId="6" fillId="19" borderId="0" xfId="0" applyNumberFormat="1" applyFont="1" applyFill="1"/>
    <xf numFmtId="4" fontId="6" fillId="19" borderId="0" xfId="0" applyNumberFormat="1" applyFont="1" applyFill="1"/>
    <xf numFmtId="167" fontId="6" fillId="19" borderId="0" xfId="0" applyNumberFormat="1" applyFont="1" applyFill="1"/>
    <xf numFmtId="0" fontId="25" fillId="10" borderId="16" xfId="0" applyFont="1" applyFill="1" applyBorder="1"/>
    <xf numFmtId="0" fontId="26" fillId="0" borderId="0" xfId="0" applyFont="1" applyBorder="1" applyAlignment="1">
      <alignment horizontal="center"/>
    </xf>
    <xf numFmtId="0" fontId="26" fillId="0" borderId="8" xfId="0" applyFont="1" applyBorder="1" applyAlignment="1">
      <alignment horizontal="center"/>
    </xf>
    <xf numFmtId="0" fontId="6" fillId="0" borderId="5" xfId="0" applyFont="1" applyBorder="1"/>
    <xf numFmtId="0" fontId="27" fillId="0" borderId="5" xfId="0" applyFont="1" applyBorder="1" applyAlignment="1">
      <alignment horizontal="center"/>
    </xf>
    <xf numFmtId="0" fontId="26" fillId="0" borderId="5" xfId="0" applyFont="1" applyBorder="1" applyAlignment="1">
      <alignment horizontal="center"/>
    </xf>
    <xf numFmtId="0" fontId="26" fillId="0" borderId="9" xfId="0" applyFont="1" applyBorder="1" applyAlignment="1">
      <alignment horizontal="center"/>
    </xf>
    <xf numFmtId="0" fontId="6" fillId="0" borderId="4" xfId="0" applyFont="1" applyBorder="1"/>
    <xf numFmtId="0" fontId="27" fillId="0" borderId="4" xfId="0" applyFont="1" applyBorder="1" applyAlignment="1">
      <alignment horizontal="center"/>
    </xf>
    <xf numFmtId="0" fontId="26" fillId="0" borderId="4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25" fillId="7" borderId="0" xfId="0" applyFont="1" applyFill="1"/>
    <xf numFmtId="0" fontId="28" fillId="0" borderId="0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0" fontId="6" fillId="0" borderId="6" xfId="0" applyFont="1" applyBorder="1"/>
    <xf numFmtId="0" fontId="27" fillId="0" borderId="6" xfId="0" applyFont="1" applyBorder="1" applyAlignment="1">
      <alignment horizontal="center"/>
    </xf>
    <xf numFmtId="0" fontId="26" fillId="0" borderId="11" xfId="0" applyFont="1" applyBorder="1" applyAlignment="1">
      <alignment horizontal="center"/>
    </xf>
    <xf numFmtId="0" fontId="29" fillId="0" borderId="0" xfId="0" applyFont="1"/>
    <xf numFmtId="0" fontId="25" fillId="0" borderId="0" xfId="0" applyFont="1"/>
    <xf numFmtId="0" fontId="30" fillId="7" borderId="0" xfId="0" applyFont="1" applyFill="1"/>
    <xf numFmtId="0" fontId="30" fillId="7" borderId="8" xfId="0" applyFont="1" applyFill="1" applyBorder="1"/>
    <xf numFmtId="0" fontId="31" fillId="7" borderId="0" xfId="0" applyFont="1" applyFill="1"/>
    <xf numFmtId="0" fontId="31" fillId="7" borderId="8" xfId="0" applyFont="1" applyFill="1" applyBorder="1"/>
    <xf numFmtId="49" fontId="5" fillId="7" borderId="1" xfId="0" applyNumberFormat="1" applyFont="1" applyFill="1" applyBorder="1" applyAlignment="1">
      <alignment horizontal="center"/>
    </xf>
    <xf numFmtId="49" fontId="5" fillId="7" borderId="0" xfId="0" applyNumberFormat="1" applyFont="1" applyFill="1" applyBorder="1" applyAlignment="1">
      <alignment horizontal="center"/>
    </xf>
    <xf numFmtId="49" fontId="4" fillId="0" borderId="14" xfId="0" applyNumberFormat="1" applyFont="1" applyBorder="1"/>
    <xf numFmtId="0" fontId="4" fillId="9" borderId="15" xfId="0" applyFont="1" applyFill="1" applyBorder="1"/>
    <xf numFmtId="0" fontId="20" fillId="9" borderId="15" xfId="0" applyFont="1" applyFill="1" applyBorder="1"/>
    <xf numFmtId="0" fontId="32" fillId="9" borderId="26" xfId="0" applyFont="1" applyFill="1" applyBorder="1"/>
    <xf numFmtId="0" fontId="32" fillId="9" borderId="27" xfId="0" applyFont="1" applyFill="1" applyBorder="1"/>
    <xf numFmtId="0" fontId="20" fillId="9" borderId="27" xfId="0" applyFont="1" applyFill="1" applyBorder="1"/>
    <xf numFmtId="0" fontId="32" fillId="20" borderId="26" xfId="0" applyFont="1" applyFill="1" applyBorder="1"/>
    <xf numFmtId="0" fontId="20" fillId="9" borderId="26" xfId="0" applyFont="1" applyFill="1" applyBorder="1"/>
    <xf numFmtId="0" fontId="20" fillId="20" borderId="26" xfId="0" applyFont="1" applyFill="1" applyBorder="1"/>
    <xf numFmtId="0" fontId="22" fillId="20" borderId="0" xfId="0" applyFont="1" applyFill="1"/>
    <xf numFmtId="49" fontId="4" fillId="9" borderId="14" xfId="0" applyNumberFormat="1" applyFont="1" applyFill="1" applyBorder="1"/>
    <xf numFmtId="49" fontId="32" fillId="9" borderId="27" xfId="0" applyNumberFormat="1" applyFont="1" applyFill="1" applyBorder="1"/>
  </cellXfs>
  <cellStyles count="1">
    <cellStyle name="Normal" xfId="0" builtinId="0"/>
  </cellStyles>
  <dxfs count="40">
    <dxf>
      <font>
        <color rgb="FF9C0006"/>
      </font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B71C1C"/>
      </font>
      <fill>
        <patternFill patternType="solid">
          <fgColor indexed="64"/>
          <bgColor rgb="FFFFEBEE"/>
        </patternFill>
      </fill>
    </dxf>
    <dxf>
      <fill>
        <patternFill patternType="solid">
          <fgColor indexed="64"/>
          <bgColor rgb="FFFFF8E1"/>
        </patternFill>
      </fill>
    </dxf>
    <dxf>
      <fill>
        <patternFill patternType="solid">
          <fgColor indexed="64"/>
          <bgColor rgb="FFE8F5E9"/>
        </patternFill>
      </fill>
    </dxf>
    <dxf>
      <font>
        <b/>
        <i val="0"/>
        <color rgb="FFFFFFFF"/>
      </font>
      <fill>
        <patternFill patternType="solid">
          <fgColor indexed="64"/>
          <bgColor rgb="FFD32F2F"/>
        </patternFill>
      </fill>
    </dxf>
    <dxf>
      <font>
        <color rgb="FF1B5E20"/>
      </font>
      <fill>
        <patternFill patternType="solid">
          <fgColor indexed="64"/>
          <bgColor rgb="FFE8F5E9"/>
        </patternFill>
      </fill>
    </dxf>
    <dxf>
      <font>
        <color rgb="FFB71C1C"/>
      </font>
      <fill>
        <patternFill patternType="solid">
          <fgColor indexed="64"/>
          <bgColor rgb="FFFFEBEE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B71C1C"/>
      </font>
      <fill>
        <patternFill patternType="solid">
          <fgColor indexed="64"/>
          <bgColor rgb="FFFFEBEE"/>
        </patternFill>
      </fill>
    </dxf>
    <dxf>
      <font>
        <color rgb="FF1B5E20"/>
      </font>
      <fill>
        <patternFill patternType="solid">
          <fgColor indexed="64"/>
          <bgColor rgb="FFE8F5E9"/>
        </patternFill>
      </fill>
    </dxf>
    <dxf>
      <font>
        <color rgb="FF9C0006"/>
      </font>
    </dxf>
    <dxf>
      <font>
        <color rgb="FF006100"/>
      </font>
    </dxf>
    <dxf>
      <fill>
        <patternFill patternType="solid">
          <fgColor indexed="64"/>
          <bgColor rgb="FFFFEBEE"/>
        </patternFill>
      </fill>
    </dxf>
    <dxf>
      <fill>
        <patternFill patternType="solid">
          <fgColor indexed="64"/>
          <bgColor rgb="FFFFF8E1"/>
        </patternFill>
      </fill>
    </dxf>
    <dxf>
      <fill>
        <patternFill patternType="solid">
          <fgColor indexed="64"/>
          <bgColor rgb="FFE8F5E9"/>
        </patternFill>
      </fill>
    </dxf>
    <dxf>
      <font>
        <color rgb="FFB71C1C"/>
      </font>
      <fill>
        <patternFill patternType="solid">
          <fgColor indexed="64"/>
          <bgColor rgb="FFFFEBEE"/>
        </patternFill>
      </fill>
    </dxf>
    <dxf>
      <fill>
        <patternFill patternType="solid">
          <fgColor indexed="64"/>
          <bgColor rgb="FFFFF8E1"/>
        </patternFill>
      </fill>
    </dxf>
    <dxf>
      <font>
        <color rgb="FF1B5E20"/>
      </font>
      <fill>
        <patternFill patternType="solid">
          <fgColor indexed="64"/>
          <bgColor rgb="FFE8F5E9"/>
        </patternFill>
      </fill>
    </dxf>
    <dxf>
      <fill>
        <patternFill patternType="solid">
          <fgColor indexed="64"/>
          <bgColor rgb="FFFFEBEE"/>
        </patternFill>
      </fill>
    </dxf>
    <dxf>
      <fill>
        <patternFill patternType="solid">
          <fgColor indexed="64"/>
          <bgColor rgb="FFFFF8E1"/>
        </patternFill>
      </fill>
    </dxf>
    <dxf>
      <fill>
        <patternFill patternType="solid">
          <fgColor indexed="64"/>
          <bgColor rgb="FFE8F5E9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D32F2F"/>
      </font>
    </dxf>
    <dxf>
      <font>
        <color rgb="FFD32F2F"/>
      </font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Position Over 36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Closing Cash</c:v>
          </c:tx>
          <c:spPr>
            <a:ln w="28575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'Cash Flow'!$C$1:$AL$1</c:f>
              <c:strCache>
                <c:ptCount val="36"/>
                <c:pt idx="0">
                  <c:v>Jun 2026</c:v>
                </c:pt>
                <c:pt idx="1">
                  <c:v>Jul 2026</c:v>
                </c:pt>
                <c:pt idx="2">
                  <c:v>Aug 2026</c:v>
                </c:pt>
                <c:pt idx="3">
                  <c:v>Sep 2026</c:v>
                </c:pt>
                <c:pt idx="4">
                  <c:v>Oct 2026</c:v>
                </c:pt>
                <c:pt idx="5">
                  <c:v>Nov 2026</c:v>
                </c:pt>
                <c:pt idx="6">
                  <c:v>Dec 2026</c:v>
                </c:pt>
                <c:pt idx="7">
                  <c:v>Jan 2027</c:v>
                </c:pt>
                <c:pt idx="8">
                  <c:v>Feb 2027</c:v>
                </c:pt>
                <c:pt idx="9">
                  <c:v>Mar 2027</c:v>
                </c:pt>
                <c:pt idx="10">
                  <c:v>Apr 2027</c:v>
                </c:pt>
                <c:pt idx="11">
                  <c:v>May 2027</c:v>
                </c:pt>
                <c:pt idx="12">
                  <c:v>Jun 2027</c:v>
                </c:pt>
                <c:pt idx="13">
                  <c:v>Jul 2027</c:v>
                </c:pt>
                <c:pt idx="14">
                  <c:v>Aug 2027</c:v>
                </c:pt>
                <c:pt idx="15">
                  <c:v>Sep 2027</c:v>
                </c:pt>
                <c:pt idx="16">
                  <c:v>Oct 2027</c:v>
                </c:pt>
                <c:pt idx="17">
                  <c:v>Nov 2027</c:v>
                </c:pt>
                <c:pt idx="18">
                  <c:v>Dec 2027</c:v>
                </c:pt>
                <c:pt idx="19">
                  <c:v>Jan 2028</c:v>
                </c:pt>
                <c:pt idx="20">
                  <c:v>Feb 2028</c:v>
                </c:pt>
                <c:pt idx="21">
                  <c:v>Mar 2028</c:v>
                </c:pt>
                <c:pt idx="22">
                  <c:v>Apr 2028</c:v>
                </c:pt>
                <c:pt idx="23">
                  <c:v>May 2028</c:v>
                </c:pt>
                <c:pt idx="24">
                  <c:v>Jun 2028</c:v>
                </c:pt>
                <c:pt idx="25">
                  <c:v>Jul 2028</c:v>
                </c:pt>
                <c:pt idx="26">
                  <c:v>Aug 2028</c:v>
                </c:pt>
                <c:pt idx="27">
                  <c:v>Sep 2028</c:v>
                </c:pt>
                <c:pt idx="28">
                  <c:v>Oct 2028</c:v>
                </c:pt>
                <c:pt idx="29">
                  <c:v>Nov 2028</c:v>
                </c:pt>
                <c:pt idx="30">
                  <c:v>Dec 2028</c:v>
                </c:pt>
                <c:pt idx="31">
                  <c:v>Jan 2029</c:v>
                </c:pt>
                <c:pt idx="32">
                  <c:v>Feb 2029</c:v>
                </c:pt>
                <c:pt idx="33">
                  <c:v>Mar 2029</c:v>
                </c:pt>
                <c:pt idx="34">
                  <c:v>Apr 2029</c:v>
                </c:pt>
                <c:pt idx="35">
                  <c:v>May 2029</c:v>
                </c:pt>
              </c:strCache>
            </c:strRef>
          </c:cat>
          <c:val>
            <c:numRef>
              <c:f>'Cash Flow'!$C$11:$AL$11</c:f>
              <c:numCache>
                <c:formatCode>#,##0.00</c:formatCode>
                <c:ptCount val="36"/>
                <c:pt idx="0">
                  <c:v>72576.318899999998</c:v>
                </c:pt>
                <c:pt idx="1">
                  <c:v>58046.219051499997</c:v>
                </c:pt>
                <c:pt idx="2">
                  <c:v>43529.530230000833</c:v>
                </c:pt>
                <c:pt idx="3">
                  <c:v>35931.007277442644</c:v>
                </c:pt>
                <c:pt idx="4">
                  <c:v>28983.153015558863</c:v>
                </c:pt>
                <c:pt idx="5">
                  <c:v>21957.815737901245</c:v>
                </c:pt>
                <c:pt idx="6">
                  <c:v>13911.378916236748</c:v>
                </c:pt>
                <c:pt idx="7">
                  <c:v>1648.6428741851905</c:v>
                </c:pt>
                <c:pt idx="8">
                  <c:v>-10592.040521398865</c:v>
                </c:pt>
                <c:pt idx="9">
                  <c:v>-19991.111251627484</c:v>
                </c:pt>
                <c:pt idx="10">
                  <c:v>-27690.20274115754</c:v>
                </c:pt>
                <c:pt idx="11">
                  <c:v>-35997.32668638321</c:v>
                </c:pt>
                <c:pt idx="12">
                  <c:v>-39262.391502317179</c:v>
                </c:pt>
                <c:pt idx="13">
                  <c:v>-38930.856166836296</c:v>
                </c:pt>
                <c:pt idx="14">
                  <c:v>-39607.999043984477</c:v>
                </c:pt>
                <c:pt idx="15">
                  <c:v>-29958.512540053478</c:v>
                </c:pt>
                <c:pt idx="16">
                  <c:v>-14326.002282738016</c:v>
                </c:pt>
                <c:pt idx="17">
                  <c:v>-1126.2988907143408</c:v>
                </c:pt>
                <c:pt idx="18">
                  <c:v>27628.585854112014</c:v>
                </c:pt>
                <c:pt idx="19">
                  <c:v>60318.08681848993</c:v>
                </c:pt>
                <c:pt idx="20">
                  <c:v>79007.894867626354</c:v>
                </c:pt>
                <c:pt idx="21">
                  <c:v>120532.0243936021</c:v>
                </c:pt>
                <c:pt idx="22">
                  <c:v>167070.97611858457</c:v>
                </c:pt>
                <c:pt idx="23">
                  <c:v>182693.45501892627</c:v>
                </c:pt>
                <c:pt idx="24">
                  <c:v>240375.2363198518</c:v>
                </c:pt>
                <c:pt idx="25">
                  <c:v>302863.94868140225</c:v>
                </c:pt>
                <c:pt idx="26">
                  <c:v>323568.98035586264</c:v>
                </c:pt>
                <c:pt idx="27">
                  <c:v>398179.78804710601</c:v>
                </c:pt>
                <c:pt idx="28">
                  <c:v>480405.4820246672</c:v>
                </c:pt>
                <c:pt idx="29">
                  <c:v>510773.33578737691</c:v>
                </c:pt>
                <c:pt idx="30">
                  <c:v>610157.15866021067</c:v>
                </c:pt>
                <c:pt idx="31">
                  <c:v>719144.89040387701</c:v>
                </c:pt>
                <c:pt idx="32">
                  <c:v>760547.5725041813</c:v>
                </c:pt>
                <c:pt idx="33">
                  <c:v>891231.20012594096</c:v>
                </c:pt>
                <c:pt idx="34">
                  <c:v>1034080.2912036381</c:v>
                </c:pt>
                <c:pt idx="35">
                  <c:v>1089418.9436634067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9F-3642-A5D1-25580C0EA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1185600"/>
        <c:axId val="1391068288"/>
      </c:lineChart>
      <c:catAx>
        <c:axId val="139118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391068288"/>
        <c:crosses val="autoZero"/>
        <c:auto val="1"/>
        <c:lblAlgn val="ctr"/>
        <c:lblOffset val="100"/>
        <c:noMultiLvlLbl val="0"/>
      </c:catAx>
      <c:valAx>
        <c:axId val="139106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39118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Position Over 36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Closing Cash</c:v>
          </c:tx>
          <c:spPr>
            <a:ln w="28575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'Cash Flow'!$C$1:$AL$1</c:f>
              <c:strCache>
                <c:ptCount val="36"/>
                <c:pt idx="0">
                  <c:v>Jun 2026</c:v>
                </c:pt>
                <c:pt idx="1">
                  <c:v>Jul 2026</c:v>
                </c:pt>
                <c:pt idx="2">
                  <c:v>Aug 2026</c:v>
                </c:pt>
                <c:pt idx="3">
                  <c:v>Sep 2026</c:v>
                </c:pt>
                <c:pt idx="4">
                  <c:v>Oct 2026</c:v>
                </c:pt>
                <c:pt idx="5">
                  <c:v>Nov 2026</c:v>
                </c:pt>
                <c:pt idx="6">
                  <c:v>Dec 2026</c:v>
                </c:pt>
                <c:pt idx="7">
                  <c:v>Jan 2027</c:v>
                </c:pt>
                <c:pt idx="8">
                  <c:v>Feb 2027</c:v>
                </c:pt>
                <c:pt idx="9">
                  <c:v>Mar 2027</c:v>
                </c:pt>
                <c:pt idx="10">
                  <c:v>Apr 2027</c:v>
                </c:pt>
                <c:pt idx="11">
                  <c:v>May 2027</c:v>
                </c:pt>
                <c:pt idx="12">
                  <c:v>Jun 2027</c:v>
                </c:pt>
                <c:pt idx="13">
                  <c:v>Jul 2027</c:v>
                </c:pt>
                <c:pt idx="14">
                  <c:v>Aug 2027</c:v>
                </c:pt>
                <c:pt idx="15">
                  <c:v>Sep 2027</c:v>
                </c:pt>
                <c:pt idx="16">
                  <c:v>Oct 2027</c:v>
                </c:pt>
                <c:pt idx="17">
                  <c:v>Nov 2027</c:v>
                </c:pt>
                <c:pt idx="18">
                  <c:v>Dec 2027</c:v>
                </c:pt>
                <c:pt idx="19">
                  <c:v>Jan 2028</c:v>
                </c:pt>
                <c:pt idx="20">
                  <c:v>Feb 2028</c:v>
                </c:pt>
                <c:pt idx="21">
                  <c:v>Mar 2028</c:v>
                </c:pt>
                <c:pt idx="22">
                  <c:v>Apr 2028</c:v>
                </c:pt>
                <c:pt idx="23">
                  <c:v>May 2028</c:v>
                </c:pt>
                <c:pt idx="24">
                  <c:v>Jun 2028</c:v>
                </c:pt>
                <c:pt idx="25">
                  <c:v>Jul 2028</c:v>
                </c:pt>
                <c:pt idx="26">
                  <c:v>Aug 2028</c:v>
                </c:pt>
                <c:pt idx="27">
                  <c:v>Sep 2028</c:v>
                </c:pt>
                <c:pt idx="28">
                  <c:v>Oct 2028</c:v>
                </c:pt>
                <c:pt idx="29">
                  <c:v>Nov 2028</c:v>
                </c:pt>
                <c:pt idx="30">
                  <c:v>Dec 2028</c:v>
                </c:pt>
                <c:pt idx="31">
                  <c:v>Jan 2029</c:v>
                </c:pt>
                <c:pt idx="32">
                  <c:v>Feb 2029</c:v>
                </c:pt>
                <c:pt idx="33">
                  <c:v>Mar 2029</c:v>
                </c:pt>
                <c:pt idx="34">
                  <c:v>Apr 2029</c:v>
                </c:pt>
                <c:pt idx="35">
                  <c:v>May 2029</c:v>
                </c:pt>
              </c:strCache>
            </c:strRef>
          </c:cat>
          <c:val>
            <c:numRef>
              <c:f>'Cash Flow'!$C$11:$AL$11</c:f>
              <c:numCache>
                <c:formatCode>#,##0.00</c:formatCode>
                <c:ptCount val="36"/>
                <c:pt idx="0">
                  <c:v>72576.318899999998</c:v>
                </c:pt>
                <c:pt idx="1">
                  <c:v>58046.219051499997</c:v>
                </c:pt>
                <c:pt idx="2">
                  <c:v>43529.530230000833</c:v>
                </c:pt>
                <c:pt idx="3">
                  <c:v>35931.007277442644</c:v>
                </c:pt>
                <c:pt idx="4">
                  <c:v>28983.153015558863</c:v>
                </c:pt>
                <c:pt idx="5">
                  <c:v>21957.815737901245</c:v>
                </c:pt>
                <c:pt idx="6">
                  <c:v>13911.378916236748</c:v>
                </c:pt>
                <c:pt idx="7">
                  <c:v>1648.6428741851905</c:v>
                </c:pt>
                <c:pt idx="8">
                  <c:v>-10592.040521398865</c:v>
                </c:pt>
                <c:pt idx="9">
                  <c:v>-19991.111251627484</c:v>
                </c:pt>
                <c:pt idx="10">
                  <c:v>-27690.20274115754</c:v>
                </c:pt>
                <c:pt idx="11">
                  <c:v>-35997.32668638321</c:v>
                </c:pt>
                <c:pt idx="12">
                  <c:v>-39262.391502317179</c:v>
                </c:pt>
                <c:pt idx="13">
                  <c:v>-38930.856166836296</c:v>
                </c:pt>
                <c:pt idx="14">
                  <c:v>-39607.999043984477</c:v>
                </c:pt>
                <c:pt idx="15">
                  <c:v>-29958.512540053478</c:v>
                </c:pt>
                <c:pt idx="16">
                  <c:v>-14326.002282738016</c:v>
                </c:pt>
                <c:pt idx="17">
                  <c:v>-1126.2988907143408</c:v>
                </c:pt>
                <c:pt idx="18">
                  <c:v>27628.585854112014</c:v>
                </c:pt>
                <c:pt idx="19">
                  <c:v>60318.08681848993</c:v>
                </c:pt>
                <c:pt idx="20">
                  <c:v>79007.894867626354</c:v>
                </c:pt>
                <c:pt idx="21">
                  <c:v>120532.0243936021</c:v>
                </c:pt>
                <c:pt idx="22">
                  <c:v>167070.97611858457</c:v>
                </c:pt>
                <c:pt idx="23">
                  <c:v>182693.45501892627</c:v>
                </c:pt>
                <c:pt idx="24">
                  <c:v>240375.2363198518</c:v>
                </c:pt>
                <c:pt idx="25">
                  <c:v>302863.94868140225</c:v>
                </c:pt>
                <c:pt idx="26">
                  <c:v>323568.98035586264</c:v>
                </c:pt>
                <c:pt idx="27">
                  <c:v>398179.78804710601</c:v>
                </c:pt>
                <c:pt idx="28">
                  <c:v>480405.4820246672</c:v>
                </c:pt>
                <c:pt idx="29">
                  <c:v>510773.33578737691</c:v>
                </c:pt>
                <c:pt idx="30">
                  <c:v>610157.15866021067</c:v>
                </c:pt>
                <c:pt idx="31">
                  <c:v>719144.89040387701</c:v>
                </c:pt>
                <c:pt idx="32">
                  <c:v>760547.5725041813</c:v>
                </c:pt>
                <c:pt idx="33">
                  <c:v>891231.20012594096</c:v>
                </c:pt>
                <c:pt idx="34">
                  <c:v>1034080.2912036381</c:v>
                </c:pt>
                <c:pt idx="35">
                  <c:v>1089418.9436634067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AD-5940-8F8B-A335A133FD6F}"/>
            </c:ext>
          </c:extLst>
        </c:ser>
        <c:ser>
          <c:idx val="1"/>
          <c:order val="1"/>
          <c:tx>
            <c:v>Break-even</c:v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'Cash Flow'!$C$1:$AL$1</c:f>
              <c:strCache>
                <c:ptCount val="36"/>
                <c:pt idx="0">
                  <c:v>Jun 2026</c:v>
                </c:pt>
                <c:pt idx="1">
                  <c:v>Jul 2026</c:v>
                </c:pt>
                <c:pt idx="2">
                  <c:v>Aug 2026</c:v>
                </c:pt>
                <c:pt idx="3">
                  <c:v>Sep 2026</c:v>
                </c:pt>
                <c:pt idx="4">
                  <c:v>Oct 2026</c:v>
                </c:pt>
                <c:pt idx="5">
                  <c:v>Nov 2026</c:v>
                </c:pt>
                <c:pt idx="6">
                  <c:v>Dec 2026</c:v>
                </c:pt>
                <c:pt idx="7">
                  <c:v>Jan 2027</c:v>
                </c:pt>
                <c:pt idx="8">
                  <c:v>Feb 2027</c:v>
                </c:pt>
                <c:pt idx="9">
                  <c:v>Mar 2027</c:v>
                </c:pt>
                <c:pt idx="10">
                  <c:v>Apr 2027</c:v>
                </c:pt>
                <c:pt idx="11">
                  <c:v>May 2027</c:v>
                </c:pt>
                <c:pt idx="12">
                  <c:v>Jun 2027</c:v>
                </c:pt>
                <c:pt idx="13">
                  <c:v>Jul 2027</c:v>
                </c:pt>
                <c:pt idx="14">
                  <c:v>Aug 2027</c:v>
                </c:pt>
                <c:pt idx="15">
                  <c:v>Sep 2027</c:v>
                </c:pt>
                <c:pt idx="16">
                  <c:v>Oct 2027</c:v>
                </c:pt>
                <c:pt idx="17">
                  <c:v>Nov 2027</c:v>
                </c:pt>
                <c:pt idx="18">
                  <c:v>Dec 2027</c:v>
                </c:pt>
                <c:pt idx="19">
                  <c:v>Jan 2028</c:v>
                </c:pt>
                <c:pt idx="20">
                  <c:v>Feb 2028</c:v>
                </c:pt>
                <c:pt idx="21">
                  <c:v>Mar 2028</c:v>
                </c:pt>
                <c:pt idx="22">
                  <c:v>Apr 2028</c:v>
                </c:pt>
                <c:pt idx="23">
                  <c:v>May 2028</c:v>
                </c:pt>
                <c:pt idx="24">
                  <c:v>Jun 2028</c:v>
                </c:pt>
                <c:pt idx="25">
                  <c:v>Jul 2028</c:v>
                </c:pt>
                <c:pt idx="26">
                  <c:v>Aug 2028</c:v>
                </c:pt>
                <c:pt idx="27">
                  <c:v>Sep 2028</c:v>
                </c:pt>
                <c:pt idx="28">
                  <c:v>Oct 2028</c:v>
                </c:pt>
                <c:pt idx="29">
                  <c:v>Nov 2028</c:v>
                </c:pt>
                <c:pt idx="30">
                  <c:v>Dec 2028</c:v>
                </c:pt>
                <c:pt idx="31">
                  <c:v>Jan 2029</c:v>
                </c:pt>
                <c:pt idx="32">
                  <c:v>Feb 2029</c:v>
                </c:pt>
                <c:pt idx="33">
                  <c:v>Mar 2029</c:v>
                </c:pt>
                <c:pt idx="34">
                  <c:v>Apr 2029</c:v>
                </c:pt>
                <c:pt idx="35">
                  <c:v>May 2029</c:v>
                </c:pt>
              </c:strCache>
            </c:strRef>
          </c:cat>
          <c:val>
            <c:numRef>
              <c:f>'Cash Flow'!$C$27:$AL$27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AD-5940-8F8B-A335A133F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0794239"/>
        <c:axId val="370795951"/>
      </c:lineChart>
      <c:catAx>
        <c:axId val="3707942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370795951"/>
        <c:crosses val="autoZero"/>
        <c:auto val="1"/>
        <c:lblAlgn val="ctr"/>
        <c:lblOffset val="100"/>
        <c:noMultiLvlLbl val="0"/>
      </c:catAx>
      <c:valAx>
        <c:axId val="37079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CHF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37079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Gross Revenue by Scenario (CHF)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Scenarios!$A$40</c:f>
              <c:strCache>
                <c:ptCount val="1"/>
                <c:pt idx="0">
                  <c:v>Y1 Revenue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Scenarios!$B$39:$D$39</c:f>
              <c:strCache>
                <c:ptCount val="3"/>
                <c:pt idx="0">
                  <c:v>Conservative</c:v>
                </c:pt>
                <c:pt idx="1">
                  <c:v>Base</c:v>
                </c:pt>
                <c:pt idx="2">
                  <c:v>Optimistic</c:v>
                </c:pt>
              </c:strCache>
            </c:strRef>
          </c:cat>
          <c:val>
            <c:numRef>
              <c:f>Scenarios!$B$40:$D$40</c:f>
              <c:numCache>
                <c:formatCode>#,##0</c:formatCode>
                <c:ptCount val="3"/>
                <c:pt idx="0">
                  <c:v>60573.84457951611</c:v>
                </c:pt>
                <c:pt idx="1">
                  <c:v>60573.84457951611</c:v>
                </c:pt>
                <c:pt idx="2">
                  <c:v>60573.84457951611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44-A943-B317-7E2A1F3C4BF5}"/>
            </c:ext>
          </c:extLst>
        </c:ser>
        <c:ser>
          <c:idx val="1"/>
          <c:order val="1"/>
          <c:tx>
            <c:strRef>
              <c:f>Scenarios!$A$41</c:f>
              <c:strCache>
                <c:ptCount val="1"/>
                <c:pt idx="0">
                  <c:v>Y2 Revenue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Scenarios!$B$39:$D$39</c:f>
              <c:strCache>
                <c:ptCount val="3"/>
                <c:pt idx="0">
                  <c:v>Conservative</c:v>
                </c:pt>
                <c:pt idx="1">
                  <c:v>Base</c:v>
                </c:pt>
                <c:pt idx="2">
                  <c:v>Optimistic</c:v>
                </c:pt>
              </c:strCache>
            </c:strRef>
          </c:cat>
          <c:val>
            <c:numRef>
              <c:f>Scenarios!$B$41:$D$41</c:f>
              <c:numCache>
                <c:formatCode>#,##0</c:formatCode>
                <c:ptCount val="3"/>
                <c:pt idx="0">
                  <c:v>596336.01507994137</c:v>
                </c:pt>
                <c:pt idx="1">
                  <c:v>596336.01507994137</c:v>
                </c:pt>
                <c:pt idx="2">
                  <c:v>596336.01507994137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44-A943-B317-7E2A1F3C4BF5}"/>
            </c:ext>
          </c:extLst>
        </c:ser>
        <c:ser>
          <c:idx val="2"/>
          <c:order val="2"/>
          <c:tx>
            <c:strRef>
              <c:f>Scenarios!$A$42</c:f>
              <c:strCache>
                <c:ptCount val="1"/>
                <c:pt idx="0">
                  <c:v>Y3 Revenue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Scenarios!$B$39:$D$39</c:f>
              <c:strCache>
                <c:ptCount val="3"/>
                <c:pt idx="0">
                  <c:v>Conservative</c:v>
                </c:pt>
                <c:pt idx="1">
                  <c:v>Base</c:v>
                </c:pt>
                <c:pt idx="2">
                  <c:v>Optimistic</c:v>
                </c:pt>
              </c:strCache>
            </c:strRef>
          </c:cat>
          <c:val>
            <c:numRef>
              <c:f>Scenarios!$B$42:$D$42</c:f>
              <c:numCache>
                <c:formatCode>#,##0</c:formatCode>
                <c:ptCount val="3"/>
                <c:pt idx="0">
                  <c:v>1623096.221676738</c:v>
                </c:pt>
                <c:pt idx="1">
                  <c:v>1623096.221676738</c:v>
                </c:pt>
                <c:pt idx="2">
                  <c:v>1623096.221676738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44-A943-B317-7E2A1F3C4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8089488"/>
        <c:axId val="1451091440"/>
      </c:barChart>
      <c:catAx>
        <c:axId val="190808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451091440"/>
        <c:crosses val="autoZero"/>
        <c:auto val="1"/>
        <c:lblAlgn val="ctr"/>
        <c:lblOffset val="100"/>
        <c:noMultiLvlLbl val="0"/>
      </c:catAx>
      <c:valAx>
        <c:axId val="145109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90808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End Cash Position by Scenario (CHF)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Scenarios!$A$46</c:f>
              <c:strCache>
                <c:ptCount val="1"/>
                <c:pt idx="0">
                  <c:v>Y1 End Cash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Scenarios!$B$45:$D$45</c:f>
              <c:strCache>
                <c:ptCount val="3"/>
                <c:pt idx="0">
                  <c:v>Conservative</c:v>
                </c:pt>
                <c:pt idx="1">
                  <c:v>Base</c:v>
                </c:pt>
                <c:pt idx="2">
                  <c:v>Optimistic</c:v>
                </c:pt>
              </c:strCache>
            </c:strRef>
          </c:cat>
          <c:val>
            <c:numRef>
              <c:f>Scenarios!$B$46:$D$46</c:f>
              <c:numCache>
                <c:formatCode>#,##0</c:formatCode>
                <c:ptCount val="3"/>
                <c:pt idx="0">
                  <c:v>-35997.32668638321</c:v>
                </c:pt>
                <c:pt idx="1">
                  <c:v>-35997.32668638321</c:v>
                </c:pt>
                <c:pt idx="2">
                  <c:v>-35997.32668638321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F4-494A-83BC-576701633DC0}"/>
            </c:ext>
          </c:extLst>
        </c:ser>
        <c:ser>
          <c:idx val="1"/>
          <c:order val="1"/>
          <c:tx>
            <c:strRef>
              <c:f>Scenarios!$A$47</c:f>
              <c:strCache>
                <c:ptCount val="1"/>
                <c:pt idx="0">
                  <c:v>Y2 End Cash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Scenarios!$B$45:$D$45</c:f>
              <c:strCache>
                <c:ptCount val="3"/>
                <c:pt idx="0">
                  <c:v>Conservative</c:v>
                </c:pt>
                <c:pt idx="1">
                  <c:v>Base</c:v>
                </c:pt>
                <c:pt idx="2">
                  <c:v>Optimistic</c:v>
                </c:pt>
              </c:strCache>
            </c:strRef>
          </c:cat>
          <c:val>
            <c:numRef>
              <c:f>Scenarios!$B$47:$D$47</c:f>
              <c:numCache>
                <c:formatCode>#,##0</c:formatCode>
                <c:ptCount val="3"/>
                <c:pt idx="0">
                  <c:v>182693.45501892627</c:v>
                </c:pt>
                <c:pt idx="1">
                  <c:v>182693.45501892627</c:v>
                </c:pt>
                <c:pt idx="2">
                  <c:v>182693.45501892627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F4-494A-83BC-576701633DC0}"/>
            </c:ext>
          </c:extLst>
        </c:ser>
        <c:ser>
          <c:idx val="2"/>
          <c:order val="2"/>
          <c:tx>
            <c:strRef>
              <c:f>Scenarios!$A$48</c:f>
              <c:strCache>
                <c:ptCount val="1"/>
                <c:pt idx="0">
                  <c:v>Y3 End Cash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Scenarios!$B$45:$D$45</c:f>
              <c:strCache>
                <c:ptCount val="3"/>
                <c:pt idx="0">
                  <c:v>Conservative</c:v>
                </c:pt>
                <c:pt idx="1">
                  <c:v>Base</c:v>
                </c:pt>
                <c:pt idx="2">
                  <c:v>Optimistic</c:v>
                </c:pt>
              </c:strCache>
            </c:strRef>
          </c:cat>
          <c:val>
            <c:numRef>
              <c:f>Scenarios!$B$48:$D$48</c:f>
              <c:numCache>
                <c:formatCode>#,##0</c:formatCode>
                <c:ptCount val="3"/>
                <c:pt idx="0">
                  <c:v>1089418.9436634067</c:v>
                </c:pt>
                <c:pt idx="1">
                  <c:v>1089418.9436634067</c:v>
                </c:pt>
                <c:pt idx="2">
                  <c:v>1089418.9436634067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F4-494A-83BC-576701633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8210799"/>
        <c:axId val="348212511"/>
      </c:barChart>
      <c:catAx>
        <c:axId val="34821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348212511"/>
        <c:crosses val="autoZero"/>
        <c:auto val="1"/>
        <c:lblAlgn val="ctr"/>
        <c:lblOffset val="100"/>
        <c:noMultiLvlLbl val="0"/>
      </c:catAx>
      <c:valAx>
        <c:axId val="34821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348210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30</xdr:row>
      <xdr:rowOff>177800</xdr:rowOff>
    </xdr:from>
    <xdr:to>
      <xdr:col>9</xdr:col>
      <xdr:colOff>457200</xdr:colOff>
      <xdr:row>52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C43B0B-11D6-8C87-6812-2A4224222F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254000</xdr:colOff>
      <xdr:row>30</xdr:row>
      <xdr:rowOff>177800</xdr:rowOff>
    </xdr:from>
    <xdr:to>
      <xdr:col>9</xdr:col>
      <xdr:colOff>457200</xdr:colOff>
      <xdr:row>52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38E065-A39F-77B0-34F9-05CEE01A1B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44</xdr:row>
      <xdr:rowOff>76200</xdr:rowOff>
    </xdr:from>
    <xdr:to>
      <xdr:col>2</xdr:col>
      <xdr:colOff>1651000</xdr:colOff>
      <xdr:row>63</xdr:row>
      <xdr:rowOff>25400</xdr:rowOff>
    </xdr:to>
    <xdr:graphicFrame macro="">
      <xdr:nvGraphicFramePr>
        <xdr:cNvPr id="2" name="RevenueComparison">
          <a:extLst>
            <a:ext uri="{FF2B5EF4-FFF2-40B4-BE49-F238E27FC236}">
              <a16:creationId xmlns:a16="http://schemas.microsoft.com/office/drawing/2014/main" id="{B0A91187-7C1E-BD97-6B97-02E6320008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127000</xdr:colOff>
      <xdr:row>44</xdr:row>
      <xdr:rowOff>76200</xdr:rowOff>
    </xdr:from>
    <xdr:to>
      <xdr:col>9</xdr:col>
      <xdr:colOff>571500</xdr:colOff>
      <xdr:row>63</xdr:row>
      <xdr:rowOff>25400</xdr:rowOff>
    </xdr:to>
    <xdr:graphicFrame macro="">
      <xdr:nvGraphicFramePr>
        <xdr:cNvPr id="3" name="CashComparison">
          <a:extLst>
            <a:ext uri="{FF2B5EF4-FFF2-40B4-BE49-F238E27FC236}">
              <a16:creationId xmlns:a16="http://schemas.microsoft.com/office/drawing/2014/main" id="{8273F0BA-0735-1D4A-D4A4-8753604387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C6A9B6E-0AA4-A249-8FC7-AC85BAC576EA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6bffc72c-52c2-4a87-b969-8fcab1375e9f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80168-D060-5444-AFA2-6A1C72A66998}">
  <dimension ref="B4:H61"/>
  <sheetViews>
    <sheetView showGridLines="0" zoomScaleNormal="100" workbookViewId="0">
      <selection activeCell="B44" sqref="B44"/>
    </sheetView>
  </sheetViews>
  <sheetFormatPr baseColWidth="10" defaultRowHeight="16" x14ac:dyDescent="0.2"/>
  <cols>
    <col min="1" max="1" width="3.33203125" customWidth="1"/>
    <col min="2" max="2" width="36.6640625" customWidth="1"/>
    <col min="3" max="3" width="30" customWidth="1"/>
    <col min="4" max="4" width="20" customWidth="1"/>
    <col min="5" max="5" width="33.33203125" customWidth="1"/>
    <col min="6" max="8" width="10" customWidth="1"/>
  </cols>
  <sheetData>
    <row r="4" spans="2:8" ht="37" x14ac:dyDescent="0.45">
      <c r="B4" s="15" t="s">
        <v>307</v>
      </c>
      <c r="C4" s="1"/>
      <c r="D4" s="1"/>
      <c r="E4" s="1"/>
      <c r="F4" s="1"/>
      <c r="G4" s="1"/>
      <c r="H4" s="1"/>
    </row>
    <row r="5" spans="2:8" ht="19" x14ac:dyDescent="0.25">
      <c r="B5" s="16" t="s">
        <v>308</v>
      </c>
      <c r="C5" s="1"/>
      <c r="D5" s="1"/>
      <c r="E5" s="1"/>
      <c r="F5" s="1"/>
      <c r="G5" s="1"/>
      <c r="H5" s="1"/>
    </row>
    <row r="6" spans="2:8" x14ac:dyDescent="0.2">
      <c r="B6" s="17" t="s">
        <v>309</v>
      </c>
      <c r="C6" s="1"/>
      <c r="D6" s="1"/>
      <c r="E6" s="1"/>
      <c r="F6" s="1"/>
      <c r="G6" s="1"/>
      <c r="H6" s="1"/>
    </row>
    <row r="7" spans="2:8" x14ac:dyDescent="0.2">
      <c r="B7" s="1"/>
      <c r="C7" s="1"/>
      <c r="D7" s="1"/>
      <c r="E7" s="1"/>
      <c r="F7" s="1"/>
      <c r="G7" s="1"/>
      <c r="H7" s="1"/>
    </row>
    <row r="8" spans="2:8" x14ac:dyDescent="0.2">
      <c r="B8" s="18"/>
      <c r="C8" s="18"/>
      <c r="D8" s="18"/>
      <c r="E8" s="18"/>
      <c r="F8" s="18"/>
      <c r="G8" s="18"/>
      <c r="H8" s="18"/>
    </row>
    <row r="9" spans="2:8" x14ac:dyDescent="0.2">
      <c r="B9" s="1"/>
      <c r="C9" s="1"/>
      <c r="D9" s="1"/>
      <c r="E9" s="1"/>
      <c r="F9" s="1"/>
      <c r="G9" s="1"/>
      <c r="H9" s="1"/>
    </row>
    <row r="10" spans="2:8" ht="19" x14ac:dyDescent="0.25">
      <c r="B10" s="19" t="s">
        <v>310</v>
      </c>
      <c r="C10" s="1"/>
      <c r="D10" s="1"/>
      <c r="E10" s="1"/>
      <c r="F10" s="1"/>
      <c r="G10" s="1"/>
      <c r="H10" s="1"/>
    </row>
    <row r="11" spans="2:8" x14ac:dyDescent="0.2">
      <c r="B11" s="1"/>
      <c r="C11" s="1"/>
      <c r="D11" s="1"/>
      <c r="E11" s="1"/>
      <c r="F11" s="1"/>
      <c r="G11" s="1"/>
      <c r="H11" s="1"/>
    </row>
    <row r="12" spans="2:8" ht="38" customHeight="1" x14ac:dyDescent="0.2">
      <c r="B12" s="20" t="s">
        <v>311</v>
      </c>
      <c r="C12" s="20"/>
      <c r="D12" s="20"/>
      <c r="E12" s="20"/>
      <c r="F12" s="20"/>
      <c r="G12" s="20"/>
      <c r="H12" s="20"/>
    </row>
    <row r="13" spans="2:8" x14ac:dyDescent="0.2">
      <c r="B13" s="1"/>
      <c r="C13" s="1"/>
      <c r="D13" s="1"/>
      <c r="E13" s="1"/>
      <c r="F13" s="1"/>
      <c r="G13" s="1"/>
      <c r="H13" s="1"/>
    </row>
    <row r="14" spans="2:8" ht="38" customHeight="1" x14ac:dyDescent="0.2">
      <c r="B14" s="20" t="s">
        <v>312</v>
      </c>
      <c r="C14" s="20"/>
      <c r="D14" s="20"/>
      <c r="E14" s="20"/>
      <c r="F14" s="20"/>
      <c r="G14" s="20"/>
      <c r="H14" s="20"/>
    </row>
    <row r="15" spans="2:8" x14ac:dyDescent="0.2">
      <c r="B15" s="1"/>
      <c r="C15" s="1"/>
      <c r="D15" s="1"/>
      <c r="E15" s="1"/>
      <c r="F15" s="1"/>
      <c r="G15" s="1"/>
      <c r="H15" s="1"/>
    </row>
    <row r="16" spans="2:8" ht="38" customHeight="1" x14ac:dyDescent="0.2">
      <c r="B16" s="20" t="s">
        <v>313</v>
      </c>
      <c r="C16" s="20"/>
      <c r="D16" s="20"/>
      <c r="E16" s="20"/>
      <c r="F16" s="20"/>
      <c r="G16" s="20"/>
      <c r="H16" s="20"/>
    </row>
    <row r="17" spans="2:8" x14ac:dyDescent="0.2">
      <c r="B17" s="1"/>
      <c r="C17" s="1"/>
      <c r="D17" s="1"/>
      <c r="E17" s="1"/>
      <c r="F17" s="1"/>
      <c r="G17" s="1"/>
      <c r="H17" s="1"/>
    </row>
    <row r="18" spans="2:8" ht="38" customHeight="1" x14ac:dyDescent="0.2">
      <c r="B18" s="20" t="s">
        <v>314</v>
      </c>
      <c r="C18" s="20"/>
      <c r="D18" s="20"/>
      <c r="E18" s="20"/>
      <c r="F18" s="20"/>
      <c r="G18" s="20"/>
      <c r="H18" s="20"/>
    </row>
    <row r="19" spans="2:8" x14ac:dyDescent="0.2">
      <c r="B19" s="1"/>
      <c r="C19" s="1"/>
      <c r="D19" s="1"/>
      <c r="E19" s="1"/>
      <c r="F19" s="1"/>
      <c r="G19" s="1"/>
      <c r="H19" s="1"/>
    </row>
    <row r="20" spans="2:8" ht="38" customHeight="1" x14ac:dyDescent="0.2">
      <c r="B20" s="20" t="s">
        <v>315</v>
      </c>
      <c r="C20" s="20"/>
      <c r="D20" s="20"/>
      <c r="E20" s="20"/>
      <c r="F20" s="20"/>
      <c r="G20" s="20"/>
      <c r="H20" s="20"/>
    </row>
    <row r="21" spans="2:8" x14ac:dyDescent="0.2">
      <c r="B21" s="1"/>
      <c r="C21" s="1"/>
      <c r="D21" s="1"/>
      <c r="E21" s="1"/>
      <c r="F21" s="1"/>
      <c r="G21" s="1"/>
      <c r="H21" s="1"/>
    </row>
    <row r="22" spans="2:8" x14ac:dyDescent="0.2">
      <c r="B22" s="18"/>
      <c r="C22" s="18"/>
      <c r="D22" s="18"/>
      <c r="E22" s="18"/>
      <c r="F22" s="18"/>
      <c r="G22" s="18"/>
      <c r="H22" s="18"/>
    </row>
    <row r="23" spans="2:8" x14ac:dyDescent="0.2">
      <c r="B23" s="1"/>
      <c r="C23" s="1"/>
      <c r="D23" s="1"/>
      <c r="E23" s="1"/>
      <c r="F23" s="1"/>
      <c r="G23" s="1"/>
      <c r="H23" s="1"/>
    </row>
    <row r="24" spans="2:8" ht="19" x14ac:dyDescent="0.25">
      <c r="B24" s="19" t="s">
        <v>316</v>
      </c>
      <c r="C24" s="1"/>
      <c r="D24" s="1"/>
      <c r="E24" s="1"/>
      <c r="F24" s="1"/>
      <c r="G24" s="1"/>
      <c r="H24" s="1"/>
    </row>
    <row r="25" spans="2:8" x14ac:dyDescent="0.2">
      <c r="B25" s="1"/>
      <c r="C25" s="1"/>
      <c r="D25" s="1"/>
      <c r="E25" s="1"/>
      <c r="F25" s="1"/>
      <c r="G25" s="1"/>
      <c r="H25" s="1"/>
    </row>
    <row r="26" spans="2:8" ht="22" customHeight="1" x14ac:dyDescent="0.2">
      <c r="B26" s="21" t="s">
        <v>317</v>
      </c>
      <c r="C26" s="21" t="s">
        <v>318</v>
      </c>
      <c r="D26" s="21" t="s">
        <v>319</v>
      </c>
      <c r="E26" s="21" t="s">
        <v>320</v>
      </c>
      <c r="F26" s="1"/>
      <c r="G26" s="1"/>
      <c r="H26" s="1"/>
    </row>
    <row r="27" spans="2:8" ht="22" customHeight="1" x14ac:dyDescent="0.2">
      <c r="B27" s="22" t="s">
        <v>321</v>
      </c>
      <c r="C27" s="22" t="s">
        <v>322</v>
      </c>
      <c r="D27" s="23" t="s">
        <v>323</v>
      </c>
      <c r="E27" s="23" t="s">
        <v>273</v>
      </c>
      <c r="F27" s="1"/>
      <c r="G27" s="1"/>
      <c r="H27" s="1"/>
    </row>
    <row r="28" spans="2:8" ht="22" customHeight="1" x14ac:dyDescent="0.2">
      <c r="B28" s="24" t="s">
        <v>324</v>
      </c>
      <c r="C28" s="24" t="s">
        <v>325</v>
      </c>
      <c r="D28" s="25" t="s">
        <v>326</v>
      </c>
      <c r="E28" s="26" t="s">
        <v>273</v>
      </c>
      <c r="F28" s="1"/>
      <c r="G28" s="1"/>
      <c r="H28" s="1"/>
    </row>
    <row r="29" spans="2:8" ht="22" customHeight="1" x14ac:dyDescent="0.2">
      <c r="B29" s="22" t="s">
        <v>327</v>
      </c>
      <c r="C29" s="22" t="s">
        <v>328</v>
      </c>
      <c r="D29" s="27" t="s">
        <v>329</v>
      </c>
      <c r="E29" s="22" t="s">
        <v>330</v>
      </c>
      <c r="F29" s="1"/>
      <c r="G29" s="1"/>
      <c r="H29" s="1"/>
    </row>
    <row r="30" spans="2:8" ht="22" customHeight="1" x14ac:dyDescent="0.2">
      <c r="B30" s="24" t="s">
        <v>331</v>
      </c>
      <c r="C30" s="24" t="s">
        <v>332</v>
      </c>
      <c r="D30" s="28" t="s">
        <v>329</v>
      </c>
      <c r="E30" s="24" t="s">
        <v>333</v>
      </c>
      <c r="F30" s="1"/>
      <c r="G30" s="1"/>
      <c r="H30" s="1"/>
    </row>
    <row r="31" spans="2:8" ht="22" customHeight="1" x14ac:dyDescent="0.2">
      <c r="B31" s="22" t="s">
        <v>148</v>
      </c>
      <c r="C31" s="22" t="s">
        <v>334</v>
      </c>
      <c r="D31" s="27" t="s">
        <v>335</v>
      </c>
      <c r="E31" s="22" t="s">
        <v>237</v>
      </c>
      <c r="F31" s="1"/>
      <c r="G31" s="1"/>
      <c r="H31" s="1"/>
    </row>
    <row r="32" spans="2:8" ht="22" customHeight="1" x14ac:dyDescent="0.2">
      <c r="B32" s="24" t="s">
        <v>336</v>
      </c>
      <c r="C32" s="24" t="s">
        <v>170</v>
      </c>
      <c r="D32" s="28" t="s">
        <v>335</v>
      </c>
      <c r="E32" s="24" t="s">
        <v>337</v>
      </c>
      <c r="F32" s="1"/>
      <c r="G32" s="1"/>
      <c r="H32" s="1"/>
    </row>
    <row r="33" spans="2:8" ht="22" customHeight="1" x14ac:dyDescent="0.2">
      <c r="B33" s="22" t="s">
        <v>197</v>
      </c>
      <c r="C33" s="22" t="s">
        <v>338</v>
      </c>
      <c r="D33" s="27" t="s">
        <v>335</v>
      </c>
      <c r="E33" s="22" t="s">
        <v>339</v>
      </c>
      <c r="F33" s="1"/>
      <c r="G33" s="1"/>
      <c r="H33" s="1"/>
    </row>
    <row r="34" spans="2:8" ht="22" customHeight="1" x14ac:dyDescent="0.2">
      <c r="B34" s="24" t="s">
        <v>340</v>
      </c>
      <c r="C34" s="24" t="s">
        <v>341</v>
      </c>
      <c r="D34" s="28" t="s">
        <v>342</v>
      </c>
      <c r="E34" s="24" t="s">
        <v>343</v>
      </c>
      <c r="F34" s="1"/>
      <c r="G34" s="1"/>
      <c r="H34" s="1"/>
    </row>
    <row r="35" spans="2:8" ht="22" customHeight="1" x14ac:dyDescent="0.2">
      <c r="B35" s="22" t="s">
        <v>344</v>
      </c>
      <c r="C35" s="22" t="s">
        <v>345</v>
      </c>
      <c r="D35" s="27" t="s">
        <v>346</v>
      </c>
      <c r="E35" s="23" t="s">
        <v>273</v>
      </c>
      <c r="F35" s="1"/>
      <c r="G35" s="1"/>
      <c r="H35" s="1"/>
    </row>
    <row r="36" spans="2:8" x14ac:dyDescent="0.2">
      <c r="B36" s="1"/>
      <c r="C36" s="1"/>
      <c r="D36" s="1"/>
      <c r="E36" s="1"/>
      <c r="F36" s="1"/>
      <c r="G36" s="1"/>
      <c r="H36" s="1"/>
    </row>
    <row r="37" spans="2:8" x14ac:dyDescent="0.2">
      <c r="B37" s="18"/>
      <c r="C37" s="18"/>
      <c r="D37" s="18"/>
      <c r="E37" s="18"/>
      <c r="F37" s="18"/>
      <c r="G37" s="18"/>
      <c r="H37" s="18"/>
    </row>
    <row r="38" spans="2:8" x14ac:dyDescent="0.2">
      <c r="B38" s="1"/>
      <c r="C38" s="1"/>
      <c r="D38" s="1"/>
      <c r="E38" s="1"/>
      <c r="F38" s="1"/>
      <c r="G38" s="1"/>
      <c r="H38" s="1"/>
    </row>
    <row r="39" spans="2:8" ht="19" x14ac:dyDescent="0.25">
      <c r="B39" s="19" t="s">
        <v>347</v>
      </c>
      <c r="C39" s="1"/>
      <c r="D39" s="1"/>
      <c r="E39" s="1"/>
      <c r="F39" s="1"/>
      <c r="G39" s="1"/>
      <c r="H39" s="1"/>
    </row>
    <row r="40" spans="2:8" x14ac:dyDescent="0.2">
      <c r="B40" s="1"/>
      <c r="C40" s="1"/>
      <c r="D40" s="1"/>
      <c r="E40" s="1"/>
      <c r="F40" s="1"/>
      <c r="G40" s="1"/>
      <c r="H40" s="1"/>
    </row>
    <row r="41" spans="2:8" ht="22" customHeight="1" x14ac:dyDescent="0.2">
      <c r="B41" s="29" t="s">
        <v>348</v>
      </c>
      <c r="C41" s="29" t="s">
        <v>349</v>
      </c>
      <c r="D41" s="29" t="s">
        <v>350</v>
      </c>
      <c r="E41" s="29" t="s">
        <v>351</v>
      </c>
      <c r="F41" s="1"/>
      <c r="G41" s="1"/>
      <c r="H41" s="1"/>
    </row>
    <row r="42" spans="2:8" ht="22" customHeight="1" x14ac:dyDescent="0.2">
      <c r="B42" s="22" t="s">
        <v>352</v>
      </c>
      <c r="C42" s="22" t="s">
        <v>353</v>
      </c>
      <c r="D42" s="27" t="s">
        <v>354</v>
      </c>
      <c r="E42" s="22" t="s">
        <v>445</v>
      </c>
      <c r="F42" s="1"/>
      <c r="G42" s="1"/>
      <c r="H42" s="1"/>
    </row>
    <row r="43" spans="2:8" ht="22" customHeight="1" x14ac:dyDescent="0.2">
      <c r="B43" s="24" t="s">
        <v>14</v>
      </c>
      <c r="C43" s="177" t="s">
        <v>479</v>
      </c>
      <c r="D43" s="28" t="s">
        <v>446</v>
      </c>
      <c r="E43" s="24" t="s">
        <v>447</v>
      </c>
      <c r="F43" s="1"/>
      <c r="G43" s="1"/>
      <c r="H43" s="1"/>
    </row>
    <row r="44" spans="2:8" ht="22" customHeight="1" x14ac:dyDescent="0.2">
      <c r="B44" s="22" t="s">
        <v>448</v>
      </c>
      <c r="C44" s="187">
        <v>0.3</v>
      </c>
      <c r="D44" s="27" t="s">
        <v>449</v>
      </c>
      <c r="E44" s="22" t="s">
        <v>450</v>
      </c>
      <c r="F44" s="1"/>
      <c r="G44" s="1"/>
      <c r="H44" s="1"/>
    </row>
    <row r="45" spans="2:8" ht="22" customHeight="1" x14ac:dyDescent="0.2">
      <c r="B45" s="24" t="s">
        <v>407</v>
      </c>
      <c r="C45" s="177">
        <v>0.05</v>
      </c>
      <c r="D45" s="28" t="s">
        <v>451</v>
      </c>
      <c r="E45" s="24" t="s">
        <v>452</v>
      </c>
      <c r="F45" s="1"/>
      <c r="G45" s="1"/>
      <c r="H45" s="1"/>
    </row>
    <row r="46" spans="2:8" ht="22" customHeight="1" x14ac:dyDescent="0.2">
      <c r="B46" s="22" t="s">
        <v>355</v>
      </c>
      <c r="C46" s="22" t="s">
        <v>453</v>
      </c>
      <c r="D46" s="27" t="s">
        <v>454</v>
      </c>
      <c r="E46" s="22" t="s">
        <v>455</v>
      </c>
      <c r="F46" s="1"/>
      <c r="G46" s="1"/>
      <c r="H46" s="1"/>
    </row>
    <row r="47" spans="2:8" ht="22" customHeight="1" x14ac:dyDescent="0.2">
      <c r="B47" s="24" t="s">
        <v>456</v>
      </c>
      <c r="C47" s="22" t="s">
        <v>457</v>
      </c>
      <c r="D47" s="28" t="s">
        <v>458</v>
      </c>
      <c r="E47" s="24" t="s">
        <v>459</v>
      </c>
      <c r="F47" s="1"/>
      <c r="G47" s="1"/>
      <c r="H47" s="1"/>
    </row>
    <row r="48" spans="2:8" ht="22" customHeight="1" x14ac:dyDescent="0.2">
      <c r="B48" s="178" t="s">
        <v>460</v>
      </c>
      <c r="C48" s="178" t="s">
        <v>461</v>
      </c>
      <c r="D48" s="179" t="s">
        <v>462</v>
      </c>
      <c r="E48" s="178" t="s">
        <v>463</v>
      </c>
      <c r="F48" s="1"/>
      <c r="G48" s="1"/>
      <c r="H48" s="1"/>
    </row>
    <row r="49" spans="2:8" ht="22" customHeight="1" x14ac:dyDescent="0.2">
      <c r="B49" s="180" t="s">
        <v>464</v>
      </c>
      <c r="C49" s="180" t="s">
        <v>465</v>
      </c>
      <c r="D49" s="184" t="s">
        <v>357</v>
      </c>
      <c r="E49" s="180" t="s">
        <v>466</v>
      </c>
      <c r="F49" s="1"/>
      <c r="G49" s="1"/>
      <c r="H49" s="1"/>
    </row>
    <row r="50" spans="2:8" ht="22" customHeight="1" x14ac:dyDescent="0.2">
      <c r="B50" s="183" t="s">
        <v>467</v>
      </c>
      <c r="C50" s="183" t="s">
        <v>468</v>
      </c>
      <c r="D50" s="185" t="s">
        <v>469</v>
      </c>
      <c r="E50" s="183" t="s">
        <v>470</v>
      </c>
      <c r="F50" s="1"/>
      <c r="G50" s="1"/>
      <c r="H50" s="1"/>
    </row>
    <row r="51" spans="2:8" ht="22" customHeight="1" x14ac:dyDescent="0.2">
      <c r="B51" s="181" t="s">
        <v>471</v>
      </c>
      <c r="C51" s="188">
        <v>1500</v>
      </c>
      <c r="D51" s="182" t="s">
        <v>356</v>
      </c>
      <c r="E51" s="181" t="s">
        <v>472</v>
      </c>
      <c r="F51" s="1"/>
      <c r="G51" s="1"/>
      <c r="H51" s="1"/>
    </row>
    <row r="52" spans="2:8" x14ac:dyDescent="0.2">
      <c r="B52" s="30"/>
      <c r="C52" s="30"/>
      <c r="D52" s="30"/>
      <c r="E52" s="30"/>
      <c r="F52" s="18"/>
      <c r="G52" s="18"/>
      <c r="H52" s="18"/>
    </row>
    <row r="53" spans="2:8" x14ac:dyDescent="0.2">
      <c r="B53" s="1"/>
      <c r="C53" s="1"/>
      <c r="D53" s="1"/>
      <c r="E53" s="1"/>
      <c r="F53" s="1"/>
      <c r="G53" s="1"/>
      <c r="H53" s="1"/>
    </row>
    <row r="54" spans="2:8" x14ac:dyDescent="0.2">
      <c r="B54" s="31" t="s">
        <v>358</v>
      </c>
      <c r="C54" s="1"/>
      <c r="D54" s="1"/>
      <c r="E54" s="1"/>
      <c r="F54" s="1"/>
      <c r="G54" s="1"/>
      <c r="H54" s="1"/>
    </row>
    <row r="55" spans="2:8" x14ac:dyDescent="0.2">
      <c r="B55" s="1"/>
      <c r="C55" s="1"/>
      <c r="D55" s="1"/>
      <c r="E55" s="1"/>
      <c r="F55" s="1"/>
      <c r="G55" s="1"/>
      <c r="H55" s="1"/>
    </row>
    <row r="56" spans="2:8" ht="20" customHeight="1" x14ac:dyDescent="0.2">
      <c r="B56" s="32" t="s">
        <v>473</v>
      </c>
      <c r="C56" s="32"/>
      <c r="D56" s="32"/>
      <c r="E56" s="32"/>
      <c r="F56" s="32"/>
      <c r="G56" s="32"/>
      <c r="H56" s="32"/>
    </row>
    <row r="57" spans="2:8" ht="20" customHeight="1" x14ac:dyDescent="0.2">
      <c r="B57" s="32" t="s">
        <v>474</v>
      </c>
      <c r="C57" s="32"/>
      <c r="D57" s="32"/>
      <c r="E57" s="32"/>
      <c r="F57" s="32"/>
      <c r="G57" s="32"/>
      <c r="H57" s="32"/>
    </row>
    <row r="58" spans="2:8" ht="20" customHeight="1" x14ac:dyDescent="0.2">
      <c r="B58" s="32" t="s">
        <v>475</v>
      </c>
      <c r="C58" s="32"/>
      <c r="D58" s="32"/>
      <c r="E58" s="32"/>
      <c r="F58" s="32"/>
      <c r="G58" s="32"/>
      <c r="H58" s="32"/>
    </row>
    <row r="59" spans="2:8" ht="20" customHeight="1" x14ac:dyDescent="0.2">
      <c r="B59" s="32" t="s">
        <v>476</v>
      </c>
      <c r="C59" s="32"/>
      <c r="D59" s="32"/>
      <c r="E59" s="32"/>
      <c r="F59" s="32"/>
      <c r="G59" s="32"/>
      <c r="H59" s="32"/>
    </row>
    <row r="60" spans="2:8" ht="20" customHeight="1" x14ac:dyDescent="0.2">
      <c r="B60" s="32" t="s">
        <v>477</v>
      </c>
      <c r="C60" s="32"/>
      <c r="D60" s="32"/>
      <c r="E60" s="32"/>
      <c r="F60" s="32"/>
      <c r="G60" s="32"/>
      <c r="H60" s="32"/>
    </row>
    <row r="61" spans="2:8" x14ac:dyDescent="0.2">
      <c r="B61" s="186" t="s">
        <v>478</v>
      </c>
      <c r="C61" s="186"/>
      <c r="D61" s="186"/>
      <c r="E61" s="186"/>
      <c r="F61" s="186"/>
      <c r="G61" s="186"/>
      <c r="H61" s="186"/>
    </row>
  </sheetData>
  <mergeCells count="10">
    <mergeCell ref="B57:H57"/>
    <mergeCell ref="B58:H58"/>
    <mergeCell ref="B59:H59"/>
    <mergeCell ref="B60:H60"/>
    <mergeCell ref="B12:H12"/>
    <mergeCell ref="B14:H14"/>
    <mergeCell ref="B16:H16"/>
    <mergeCell ref="B18:H18"/>
    <mergeCell ref="B20:H20"/>
    <mergeCell ref="B56:H56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E983E-78E0-A84D-B144-D2E0CF5ECD52}">
  <dimension ref="A1:AL93"/>
  <sheetViews>
    <sheetView showGridLines="0" tabSelected="1" zoomScale="113" workbookViewId="0">
      <pane xSplit="1" topLeftCell="B1" activePane="topRight" state="frozen"/>
      <selection pane="topRight" activeCell="B20" sqref="B20"/>
    </sheetView>
  </sheetViews>
  <sheetFormatPr baseColWidth="10" defaultRowHeight="16" x14ac:dyDescent="0.2"/>
  <cols>
    <col min="1" max="1" width="30.33203125" style="42" bestFit="1" customWidth="1"/>
    <col min="2" max="2" width="10.83203125" customWidth="1"/>
    <col min="3" max="38" width="9.1640625" style="46" customWidth="1"/>
  </cols>
  <sheetData>
    <row r="1" spans="1:38" ht="17" thickBot="1" x14ac:dyDescent="0.25">
      <c r="A1" s="62" t="s">
        <v>0</v>
      </c>
      <c r="B1" s="64" t="s">
        <v>1</v>
      </c>
      <c r="C1" s="175" t="s">
        <v>409</v>
      </c>
      <c r="D1" s="175" t="s">
        <v>410</v>
      </c>
      <c r="E1" s="175" t="s">
        <v>411</v>
      </c>
      <c r="F1" s="175" t="s">
        <v>412</v>
      </c>
      <c r="G1" s="175" t="s">
        <v>413</v>
      </c>
      <c r="H1" s="175" t="s">
        <v>414</v>
      </c>
      <c r="I1" s="175" t="s">
        <v>415</v>
      </c>
      <c r="J1" s="175" t="s">
        <v>416</v>
      </c>
      <c r="K1" s="175" t="s">
        <v>417</v>
      </c>
      <c r="L1" s="175" t="s">
        <v>418</v>
      </c>
      <c r="M1" s="175" t="s">
        <v>419</v>
      </c>
      <c r="N1" s="175" t="s">
        <v>420</v>
      </c>
      <c r="O1" s="175" t="s">
        <v>421</v>
      </c>
      <c r="P1" s="175" t="s">
        <v>422</v>
      </c>
      <c r="Q1" s="175" t="s">
        <v>423</v>
      </c>
      <c r="R1" s="175" t="s">
        <v>424</v>
      </c>
      <c r="S1" s="175" t="s">
        <v>425</v>
      </c>
      <c r="T1" s="175" t="s">
        <v>426</v>
      </c>
      <c r="U1" s="175" t="s">
        <v>427</v>
      </c>
      <c r="V1" s="175" t="s">
        <v>428</v>
      </c>
      <c r="W1" s="175" t="s">
        <v>429</v>
      </c>
      <c r="X1" s="175" t="s">
        <v>430</v>
      </c>
      <c r="Y1" s="175" t="s">
        <v>431</v>
      </c>
      <c r="Z1" s="175" t="s">
        <v>432</v>
      </c>
      <c r="AA1" s="175" t="s">
        <v>433</v>
      </c>
      <c r="AB1" s="175" t="s">
        <v>434</v>
      </c>
      <c r="AC1" s="175" t="s">
        <v>435</v>
      </c>
      <c r="AD1" s="175" t="s">
        <v>436</v>
      </c>
      <c r="AE1" s="175" t="s">
        <v>437</v>
      </c>
      <c r="AF1" s="175" t="s">
        <v>438</v>
      </c>
      <c r="AG1" s="175" t="s">
        <v>439</v>
      </c>
      <c r="AH1" s="175" t="s">
        <v>440</v>
      </c>
      <c r="AI1" s="175" t="s">
        <v>441</v>
      </c>
      <c r="AJ1" s="175" t="s">
        <v>442</v>
      </c>
      <c r="AK1" s="175" t="s">
        <v>443</v>
      </c>
      <c r="AL1" s="175" t="s">
        <v>444</v>
      </c>
    </row>
    <row r="2" spans="1:38" x14ac:dyDescent="0.2">
      <c r="A2" s="40" t="s">
        <v>2</v>
      </c>
      <c r="B2" s="65">
        <v>2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</row>
    <row r="3" spans="1:38" x14ac:dyDescent="0.2">
      <c r="A3" s="40" t="s">
        <v>3</v>
      </c>
      <c r="B3" s="66" t="s">
        <v>70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</row>
    <row r="4" spans="1:38" x14ac:dyDescent="0.2">
      <c r="A4" s="59" t="s">
        <v>359</v>
      </c>
      <c r="B4" s="67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</row>
    <row r="5" spans="1:38" x14ac:dyDescent="0.2">
      <c r="A5" s="40" t="s">
        <v>4</v>
      </c>
      <c r="B5" s="68">
        <v>120000</v>
      </c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</row>
    <row r="6" spans="1:38" x14ac:dyDescent="0.2">
      <c r="A6" s="40" t="s">
        <v>243</v>
      </c>
      <c r="B6" s="70">
        <v>7000</v>
      </c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</row>
    <row r="7" spans="1:38" x14ac:dyDescent="0.2">
      <c r="A7" s="40" t="s">
        <v>244</v>
      </c>
      <c r="B7" s="70">
        <v>50000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</row>
    <row r="8" spans="1:38" x14ac:dyDescent="0.2">
      <c r="A8" s="40" t="s">
        <v>5</v>
      </c>
      <c r="B8" s="63">
        <f>B5-B6</f>
        <v>113000</v>
      </c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</row>
    <row r="9" spans="1:38" x14ac:dyDescent="0.2">
      <c r="A9" s="59" t="s">
        <v>360</v>
      </c>
      <c r="B9" s="60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</row>
    <row r="10" spans="1:38" x14ac:dyDescent="0.2">
      <c r="A10" s="40" t="s">
        <v>6</v>
      </c>
      <c r="B10" s="3">
        <v>0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</row>
    <row r="11" spans="1:38" x14ac:dyDescent="0.2">
      <c r="A11" s="40" t="s">
        <v>7</v>
      </c>
      <c r="B11" s="71">
        <v>15</v>
      </c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</row>
    <row r="12" spans="1:38" x14ac:dyDescent="0.2">
      <c r="A12" s="40" t="s">
        <v>8</v>
      </c>
      <c r="B12" s="70">
        <v>35</v>
      </c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</row>
    <row r="13" spans="1:38" x14ac:dyDescent="0.2">
      <c r="A13" s="40" t="s">
        <v>9</v>
      </c>
      <c r="B13" s="70">
        <v>69</v>
      </c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</row>
    <row r="14" spans="1:38" x14ac:dyDescent="0.2">
      <c r="A14" s="40" t="s">
        <v>10</v>
      </c>
      <c r="B14" s="69">
        <v>0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</row>
    <row r="15" spans="1:38" x14ac:dyDescent="0.2">
      <c r="A15" s="59" t="s">
        <v>361</v>
      </c>
      <c r="B15" s="60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</row>
    <row r="16" spans="1:38" x14ac:dyDescent="0.2">
      <c r="A16" s="40" t="s">
        <v>11</v>
      </c>
      <c r="B16" s="2" t="s">
        <v>12</v>
      </c>
      <c r="C16" s="85">
        <v>3</v>
      </c>
      <c r="D16" s="85">
        <v>7</v>
      </c>
      <c r="E16" s="85">
        <v>12</v>
      </c>
      <c r="F16" s="85">
        <v>20</v>
      </c>
      <c r="G16" s="85">
        <v>0</v>
      </c>
      <c r="H16" s="85">
        <v>0</v>
      </c>
      <c r="I16" s="85">
        <v>0</v>
      </c>
      <c r="J16" s="85">
        <v>0</v>
      </c>
      <c r="K16" s="85">
        <v>0</v>
      </c>
      <c r="L16" s="85">
        <v>0</v>
      </c>
      <c r="M16" s="85">
        <v>0</v>
      </c>
      <c r="N16" s="85">
        <v>0</v>
      </c>
      <c r="O16" s="85">
        <v>0</v>
      </c>
      <c r="P16" s="85">
        <v>0</v>
      </c>
      <c r="Q16" s="85">
        <v>0</v>
      </c>
      <c r="R16" s="85">
        <v>0</v>
      </c>
      <c r="S16" s="85">
        <v>0</v>
      </c>
      <c r="T16" s="85">
        <v>0</v>
      </c>
      <c r="U16" s="85">
        <v>0</v>
      </c>
      <c r="V16" s="85">
        <v>0</v>
      </c>
      <c r="W16" s="85">
        <v>0</v>
      </c>
      <c r="X16" s="85">
        <v>0</v>
      </c>
      <c r="Y16" s="85">
        <v>0</v>
      </c>
      <c r="Z16" s="85">
        <v>0</v>
      </c>
      <c r="AA16" s="85">
        <v>0</v>
      </c>
      <c r="AB16" s="85">
        <v>0</v>
      </c>
      <c r="AC16" s="85">
        <v>0</v>
      </c>
      <c r="AD16" s="85">
        <v>0</v>
      </c>
      <c r="AE16" s="85">
        <v>0</v>
      </c>
      <c r="AF16" s="85">
        <v>0</v>
      </c>
      <c r="AG16" s="85">
        <v>0</v>
      </c>
      <c r="AH16" s="85">
        <v>0</v>
      </c>
      <c r="AI16" s="85">
        <v>0</v>
      </c>
      <c r="AJ16" s="85">
        <v>0</v>
      </c>
      <c r="AK16" s="85">
        <v>0</v>
      </c>
      <c r="AL16" s="85">
        <v>0</v>
      </c>
    </row>
    <row r="17" spans="1:38" x14ac:dyDescent="0.2">
      <c r="A17" s="40" t="s">
        <v>13</v>
      </c>
      <c r="B17" s="2" t="s">
        <v>12</v>
      </c>
      <c r="C17" s="85">
        <v>0</v>
      </c>
      <c r="D17" s="85">
        <v>0</v>
      </c>
      <c r="E17" s="85">
        <v>0</v>
      </c>
      <c r="F17" s="85">
        <v>0</v>
      </c>
      <c r="G17" s="85">
        <v>0</v>
      </c>
      <c r="H17" s="85">
        <v>0</v>
      </c>
      <c r="I17" s="85">
        <v>0</v>
      </c>
      <c r="J17" s="85">
        <v>0</v>
      </c>
      <c r="K17" s="85">
        <v>0</v>
      </c>
      <c r="L17" s="85">
        <v>0</v>
      </c>
      <c r="M17" s="85">
        <v>0</v>
      </c>
      <c r="N17" s="85">
        <v>0</v>
      </c>
      <c r="O17" s="85">
        <v>0</v>
      </c>
      <c r="P17" s="85">
        <v>0</v>
      </c>
      <c r="Q17" s="85">
        <v>0</v>
      </c>
      <c r="R17" s="85">
        <v>0</v>
      </c>
      <c r="S17" s="85">
        <v>0</v>
      </c>
      <c r="T17" s="85">
        <v>0</v>
      </c>
      <c r="U17" s="85">
        <v>0</v>
      </c>
      <c r="V17" s="85">
        <v>0</v>
      </c>
      <c r="W17" s="85">
        <v>0</v>
      </c>
      <c r="X17" s="85">
        <v>0</v>
      </c>
      <c r="Y17" s="85">
        <v>0</v>
      </c>
      <c r="Z17" s="85">
        <v>0</v>
      </c>
      <c r="AA17" s="85">
        <v>0</v>
      </c>
      <c r="AB17" s="85">
        <v>0</v>
      </c>
      <c r="AC17" s="85">
        <v>0</v>
      </c>
      <c r="AD17" s="85">
        <v>0</v>
      </c>
      <c r="AE17" s="85">
        <v>0</v>
      </c>
      <c r="AF17" s="85">
        <v>0</v>
      </c>
      <c r="AG17" s="85">
        <v>0</v>
      </c>
      <c r="AH17" s="85">
        <v>0</v>
      </c>
      <c r="AI17" s="85">
        <v>0</v>
      </c>
      <c r="AJ17" s="85">
        <v>0</v>
      </c>
      <c r="AK17" s="85">
        <v>0</v>
      </c>
      <c r="AL17" s="85">
        <v>0</v>
      </c>
    </row>
    <row r="18" spans="1:38" x14ac:dyDescent="0.2">
      <c r="A18" s="40" t="s">
        <v>14</v>
      </c>
      <c r="B18" s="72">
        <v>0.3</v>
      </c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</row>
    <row r="19" spans="1:38" x14ac:dyDescent="0.2">
      <c r="A19" s="40" t="s">
        <v>15</v>
      </c>
      <c r="B19" s="73">
        <v>0.3</v>
      </c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</row>
    <row r="20" spans="1:38" x14ac:dyDescent="0.2">
      <c r="A20" s="40" t="s">
        <v>405</v>
      </c>
      <c r="B20" s="72" t="s">
        <v>406</v>
      </c>
      <c r="C20" s="43">
        <v>100</v>
      </c>
      <c r="D20" s="43">
        <v>100</v>
      </c>
      <c r="E20" s="43">
        <v>100</v>
      </c>
      <c r="F20" s="43">
        <v>300</v>
      </c>
      <c r="G20" s="43">
        <v>300</v>
      </c>
      <c r="H20" s="43">
        <v>300</v>
      </c>
      <c r="I20" s="43">
        <v>500</v>
      </c>
      <c r="J20" s="43">
        <v>500</v>
      </c>
      <c r="K20" s="43">
        <v>500</v>
      </c>
      <c r="L20" s="43">
        <v>500</v>
      </c>
      <c r="M20" s="43">
        <v>500</v>
      </c>
      <c r="N20" s="43">
        <v>500</v>
      </c>
      <c r="O20" s="43">
        <v>700</v>
      </c>
      <c r="P20" s="43">
        <v>700</v>
      </c>
      <c r="Q20" s="43">
        <v>700</v>
      </c>
      <c r="R20" s="43">
        <v>700</v>
      </c>
      <c r="S20" s="43">
        <v>700</v>
      </c>
      <c r="T20" s="43">
        <v>700</v>
      </c>
      <c r="U20" s="43">
        <v>700</v>
      </c>
      <c r="V20" s="43">
        <v>700</v>
      </c>
      <c r="W20" s="43">
        <v>700</v>
      </c>
      <c r="X20" s="43">
        <v>700</v>
      </c>
      <c r="Y20" s="43">
        <v>700</v>
      </c>
      <c r="Z20" s="43">
        <v>700</v>
      </c>
      <c r="AA20" s="43">
        <v>1000</v>
      </c>
      <c r="AB20" s="43">
        <v>1000</v>
      </c>
      <c r="AC20" s="43">
        <v>1000</v>
      </c>
      <c r="AD20" s="43">
        <v>1000</v>
      </c>
      <c r="AE20" s="43">
        <v>1000</v>
      </c>
      <c r="AF20" s="43">
        <v>1000</v>
      </c>
      <c r="AG20" s="43">
        <v>1000</v>
      </c>
      <c r="AH20" s="43">
        <v>1000</v>
      </c>
      <c r="AI20" s="43">
        <v>1000</v>
      </c>
      <c r="AJ20" s="43">
        <v>1000</v>
      </c>
      <c r="AK20" s="43">
        <v>1000</v>
      </c>
      <c r="AL20" s="43">
        <v>1000</v>
      </c>
    </row>
    <row r="21" spans="1:38" x14ac:dyDescent="0.2">
      <c r="A21" s="40" t="s">
        <v>407</v>
      </c>
      <c r="B21" s="72">
        <v>0.05</v>
      </c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</row>
    <row r="22" spans="1:38" x14ac:dyDescent="0.2">
      <c r="A22" s="40" t="s">
        <v>16</v>
      </c>
      <c r="B22" s="2" t="s">
        <v>17</v>
      </c>
      <c r="C22" s="86">
        <v>1</v>
      </c>
      <c r="D22" s="86">
        <v>1</v>
      </c>
      <c r="E22" s="86">
        <v>1</v>
      </c>
      <c r="F22" s="86">
        <v>1</v>
      </c>
      <c r="G22" s="86">
        <v>1</v>
      </c>
      <c r="H22" s="86">
        <v>0.85</v>
      </c>
      <c r="I22" s="86">
        <v>0.7</v>
      </c>
      <c r="J22" s="86">
        <v>0.75</v>
      </c>
      <c r="K22" s="86">
        <v>1</v>
      </c>
      <c r="L22" s="86">
        <v>1</v>
      </c>
      <c r="M22" s="86">
        <v>1</v>
      </c>
      <c r="N22" s="86">
        <v>0.9</v>
      </c>
      <c r="O22" s="86">
        <v>1</v>
      </c>
      <c r="P22" s="86">
        <v>1</v>
      </c>
      <c r="Q22" s="86">
        <v>1</v>
      </c>
      <c r="R22" s="86">
        <v>1</v>
      </c>
      <c r="S22" s="86">
        <v>1</v>
      </c>
      <c r="T22" s="86">
        <v>0.85</v>
      </c>
      <c r="U22" s="86">
        <v>0.7</v>
      </c>
      <c r="V22" s="86">
        <v>0.75</v>
      </c>
      <c r="W22" s="86">
        <v>1</v>
      </c>
      <c r="X22" s="86">
        <v>1</v>
      </c>
      <c r="Y22" s="86">
        <v>1</v>
      </c>
      <c r="Z22" s="86">
        <v>0.9</v>
      </c>
      <c r="AA22" s="86">
        <v>1</v>
      </c>
      <c r="AB22" s="86">
        <v>1</v>
      </c>
      <c r="AC22" s="86">
        <v>1</v>
      </c>
      <c r="AD22" s="86">
        <v>1</v>
      </c>
      <c r="AE22" s="86">
        <v>1</v>
      </c>
      <c r="AF22" s="86">
        <v>0.85</v>
      </c>
      <c r="AG22" s="86">
        <v>0.7</v>
      </c>
      <c r="AH22" s="86">
        <v>0.75</v>
      </c>
      <c r="AI22" s="86">
        <v>1</v>
      </c>
      <c r="AJ22" s="86">
        <v>1</v>
      </c>
      <c r="AK22" s="86">
        <v>1</v>
      </c>
      <c r="AL22" s="86">
        <v>0.9</v>
      </c>
    </row>
    <row r="23" spans="1:38" x14ac:dyDescent="0.2">
      <c r="A23" s="40" t="s">
        <v>18</v>
      </c>
      <c r="B23" s="71">
        <v>1500</v>
      </c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</row>
    <row r="24" spans="1:38" x14ac:dyDescent="0.2">
      <c r="A24" s="40" t="s">
        <v>19</v>
      </c>
      <c r="B24" s="70">
        <v>7221</v>
      </c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</row>
    <row r="25" spans="1:38" x14ac:dyDescent="0.2">
      <c r="A25" s="41" t="s">
        <v>251</v>
      </c>
      <c r="B25" s="70">
        <v>6</v>
      </c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</row>
    <row r="26" spans="1:38" x14ac:dyDescent="0.2">
      <c r="A26" s="41" t="s">
        <v>252</v>
      </c>
      <c r="B26" s="70">
        <v>50000</v>
      </c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</row>
    <row r="27" spans="1:38" x14ac:dyDescent="0.2">
      <c r="A27" s="41" t="s">
        <v>253</v>
      </c>
      <c r="B27" s="74">
        <v>1.5</v>
      </c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</row>
    <row r="28" spans="1:38" x14ac:dyDescent="0.2">
      <c r="A28" s="59" t="s">
        <v>362</v>
      </c>
      <c r="B28" s="60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</row>
    <row r="29" spans="1:38" x14ac:dyDescent="0.2">
      <c r="A29" s="40" t="s">
        <v>20</v>
      </c>
      <c r="B29" s="2" t="s">
        <v>21</v>
      </c>
      <c r="C29" s="88">
        <v>0.85</v>
      </c>
      <c r="D29" s="88">
        <v>0.85</v>
      </c>
      <c r="E29" s="88">
        <v>0.85</v>
      </c>
      <c r="F29" s="88">
        <v>0.15</v>
      </c>
      <c r="G29" s="88">
        <v>0.15</v>
      </c>
      <c r="H29" s="88">
        <v>0.15</v>
      </c>
      <c r="I29" s="88">
        <v>0.15</v>
      </c>
      <c r="J29" s="88">
        <v>0.15</v>
      </c>
      <c r="K29" s="88">
        <v>0.15</v>
      </c>
      <c r="L29" s="88">
        <v>0.15</v>
      </c>
      <c r="M29" s="88">
        <v>0.15</v>
      </c>
      <c r="N29" s="88">
        <v>0.15</v>
      </c>
      <c r="O29" s="88">
        <v>0.05</v>
      </c>
      <c r="P29" s="88">
        <v>0.05</v>
      </c>
      <c r="Q29" s="88">
        <v>0.05</v>
      </c>
      <c r="R29" s="88">
        <v>0.05</v>
      </c>
      <c r="S29" s="88">
        <v>0.05</v>
      </c>
      <c r="T29" s="88">
        <v>0.05</v>
      </c>
      <c r="U29" s="88">
        <v>0.05</v>
      </c>
      <c r="V29" s="88">
        <v>0.05</v>
      </c>
      <c r="W29" s="88">
        <v>0.05</v>
      </c>
      <c r="X29" s="88">
        <v>0.05</v>
      </c>
      <c r="Y29" s="88">
        <v>0.05</v>
      </c>
      <c r="Z29" s="88">
        <v>0.05</v>
      </c>
      <c r="AA29" s="88">
        <v>0.05</v>
      </c>
      <c r="AB29" s="88">
        <v>0.05</v>
      </c>
      <c r="AC29" s="88">
        <v>0.05</v>
      </c>
      <c r="AD29" s="88">
        <v>0.05</v>
      </c>
      <c r="AE29" s="88">
        <v>0.05</v>
      </c>
      <c r="AF29" s="88">
        <v>0.05</v>
      </c>
      <c r="AG29" s="88">
        <v>0.05</v>
      </c>
      <c r="AH29" s="88">
        <v>0.05</v>
      </c>
      <c r="AI29" s="88">
        <v>0.05</v>
      </c>
      <c r="AJ29" s="88">
        <v>0.05</v>
      </c>
      <c r="AK29" s="88">
        <v>0.05</v>
      </c>
      <c r="AL29" s="88">
        <v>0.05</v>
      </c>
    </row>
    <row r="30" spans="1:38" x14ac:dyDescent="0.2">
      <c r="A30" s="40" t="s">
        <v>22</v>
      </c>
      <c r="B30" s="2" t="s">
        <v>21</v>
      </c>
      <c r="C30" s="88">
        <v>0.05</v>
      </c>
      <c r="D30" s="88">
        <v>0.05</v>
      </c>
      <c r="E30" s="88">
        <v>0.05</v>
      </c>
      <c r="F30" s="88">
        <v>0.25</v>
      </c>
      <c r="G30" s="88">
        <v>0.25</v>
      </c>
      <c r="H30" s="88">
        <v>0.25</v>
      </c>
      <c r="I30" s="88">
        <v>0.25</v>
      </c>
      <c r="J30" s="88">
        <v>0.25</v>
      </c>
      <c r="K30" s="88">
        <v>0.25</v>
      </c>
      <c r="L30" s="88">
        <v>0.25</v>
      </c>
      <c r="M30" s="88">
        <v>0.25</v>
      </c>
      <c r="N30" s="88">
        <v>0.25</v>
      </c>
      <c r="O30" s="88">
        <v>0.25</v>
      </c>
      <c r="P30" s="88">
        <v>0.25</v>
      </c>
      <c r="Q30" s="88">
        <v>0.25</v>
      </c>
      <c r="R30" s="88">
        <v>0.25</v>
      </c>
      <c r="S30" s="88">
        <v>0.25</v>
      </c>
      <c r="T30" s="88">
        <v>0.25</v>
      </c>
      <c r="U30" s="88">
        <v>0.25</v>
      </c>
      <c r="V30" s="88">
        <v>0.25</v>
      </c>
      <c r="W30" s="88">
        <v>0.25</v>
      </c>
      <c r="X30" s="88">
        <v>0.25</v>
      </c>
      <c r="Y30" s="88">
        <v>0.25</v>
      </c>
      <c r="Z30" s="88">
        <v>0.25</v>
      </c>
      <c r="AA30" s="88">
        <v>0.25</v>
      </c>
      <c r="AB30" s="88">
        <v>0.25</v>
      </c>
      <c r="AC30" s="88">
        <v>0.25</v>
      </c>
      <c r="AD30" s="88">
        <v>0.25</v>
      </c>
      <c r="AE30" s="88">
        <v>0.25</v>
      </c>
      <c r="AF30" s="88">
        <v>0.25</v>
      </c>
      <c r="AG30" s="88">
        <v>0.25</v>
      </c>
      <c r="AH30" s="88">
        <v>0.25</v>
      </c>
      <c r="AI30" s="88">
        <v>0.25</v>
      </c>
      <c r="AJ30" s="88">
        <v>0.25</v>
      </c>
      <c r="AK30" s="88">
        <v>0.25</v>
      </c>
      <c r="AL30" s="88">
        <v>0.25</v>
      </c>
    </row>
    <row r="31" spans="1:38" x14ac:dyDescent="0.2">
      <c r="A31" s="40" t="s">
        <v>23</v>
      </c>
      <c r="B31" s="2" t="s">
        <v>21</v>
      </c>
      <c r="C31" s="88">
        <v>0.05</v>
      </c>
      <c r="D31" s="88">
        <v>0.05</v>
      </c>
      <c r="E31" s="88">
        <v>0.05</v>
      </c>
      <c r="F31" s="88">
        <v>0.4</v>
      </c>
      <c r="G31" s="88">
        <v>0.4</v>
      </c>
      <c r="H31" s="88">
        <v>0.4</v>
      </c>
      <c r="I31" s="88">
        <v>0.4</v>
      </c>
      <c r="J31" s="88">
        <v>0.4</v>
      </c>
      <c r="K31" s="88">
        <v>0.4</v>
      </c>
      <c r="L31" s="88">
        <v>0.4</v>
      </c>
      <c r="M31" s="88">
        <v>0.4</v>
      </c>
      <c r="N31" s="88">
        <v>0.4</v>
      </c>
      <c r="O31" s="88">
        <v>0.45</v>
      </c>
      <c r="P31" s="88">
        <v>0.45</v>
      </c>
      <c r="Q31" s="88">
        <v>0.45</v>
      </c>
      <c r="R31" s="88">
        <v>0.45</v>
      </c>
      <c r="S31" s="88">
        <v>0.45</v>
      </c>
      <c r="T31" s="88">
        <v>0.45</v>
      </c>
      <c r="U31" s="88">
        <v>0.45</v>
      </c>
      <c r="V31" s="88">
        <v>0.45</v>
      </c>
      <c r="W31" s="88">
        <v>0.45</v>
      </c>
      <c r="X31" s="88">
        <v>0.45</v>
      </c>
      <c r="Y31" s="88">
        <v>0.45</v>
      </c>
      <c r="Z31" s="88">
        <v>0.45</v>
      </c>
      <c r="AA31" s="88">
        <v>0.45</v>
      </c>
      <c r="AB31" s="88">
        <v>0.45</v>
      </c>
      <c r="AC31" s="88">
        <v>0.45</v>
      </c>
      <c r="AD31" s="88">
        <v>0.45</v>
      </c>
      <c r="AE31" s="88">
        <v>0.45</v>
      </c>
      <c r="AF31" s="88">
        <v>0.45</v>
      </c>
      <c r="AG31" s="88">
        <v>0.45</v>
      </c>
      <c r="AH31" s="88">
        <v>0.45</v>
      </c>
      <c r="AI31" s="88">
        <v>0.45</v>
      </c>
      <c r="AJ31" s="88">
        <v>0.45</v>
      </c>
      <c r="AK31" s="88">
        <v>0.45</v>
      </c>
      <c r="AL31" s="88">
        <v>0.45</v>
      </c>
    </row>
    <row r="32" spans="1:38" x14ac:dyDescent="0.2">
      <c r="A32" s="40" t="s">
        <v>24</v>
      </c>
      <c r="B32" s="2" t="s">
        <v>21</v>
      </c>
      <c r="C32" s="88">
        <v>0.05</v>
      </c>
      <c r="D32" s="88">
        <v>0.05</v>
      </c>
      <c r="E32" s="88">
        <v>0.05</v>
      </c>
      <c r="F32" s="88">
        <v>0.2</v>
      </c>
      <c r="G32" s="88">
        <v>0.2</v>
      </c>
      <c r="H32" s="88">
        <v>0.2</v>
      </c>
      <c r="I32" s="88">
        <v>0.2</v>
      </c>
      <c r="J32" s="88">
        <v>0.2</v>
      </c>
      <c r="K32" s="88">
        <v>0.2</v>
      </c>
      <c r="L32" s="88">
        <v>0.2</v>
      </c>
      <c r="M32" s="88">
        <v>0.2</v>
      </c>
      <c r="N32" s="88">
        <v>0.2</v>
      </c>
      <c r="O32" s="88">
        <v>0.25</v>
      </c>
      <c r="P32" s="88">
        <v>0.25</v>
      </c>
      <c r="Q32" s="88">
        <v>0.25</v>
      </c>
      <c r="R32" s="88">
        <v>0.25</v>
      </c>
      <c r="S32" s="88">
        <v>0.25</v>
      </c>
      <c r="T32" s="88">
        <v>0.25</v>
      </c>
      <c r="U32" s="88">
        <v>0.25</v>
      </c>
      <c r="V32" s="88">
        <v>0.25</v>
      </c>
      <c r="W32" s="88">
        <v>0.25</v>
      </c>
      <c r="X32" s="88">
        <v>0.25</v>
      </c>
      <c r="Y32" s="88">
        <v>0.25</v>
      </c>
      <c r="Z32" s="88">
        <v>0.25</v>
      </c>
      <c r="AA32" s="88">
        <v>0.25</v>
      </c>
      <c r="AB32" s="88">
        <v>0.25</v>
      </c>
      <c r="AC32" s="88">
        <v>0.25</v>
      </c>
      <c r="AD32" s="88">
        <v>0.25</v>
      </c>
      <c r="AE32" s="88">
        <v>0.25</v>
      </c>
      <c r="AF32" s="88">
        <v>0.25</v>
      </c>
      <c r="AG32" s="88">
        <v>0.25</v>
      </c>
      <c r="AH32" s="88">
        <v>0.25</v>
      </c>
      <c r="AI32" s="88">
        <v>0.25</v>
      </c>
      <c r="AJ32" s="88">
        <v>0.25</v>
      </c>
      <c r="AK32" s="88">
        <v>0.25</v>
      </c>
      <c r="AL32" s="88">
        <v>0.25</v>
      </c>
    </row>
    <row r="33" spans="1:38" x14ac:dyDescent="0.2">
      <c r="A33" s="40" t="s">
        <v>25</v>
      </c>
      <c r="B33" s="75" t="s">
        <v>26</v>
      </c>
      <c r="C33" s="45">
        <f>C29+C30+C31+C32</f>
        <v>1</v>
      </c>
      <c r="D33" s="45">
        <f t="shared" ref="D33:AL33" si="0">D29+D30+D31+D32</f>
        <v>1</v>
      </c>
      <c r="E33" s="45">
        <f t="shared" si="0"/>
        <v>1</v>
      </c>
      <c r="F33" s="45">
        <f t="shared" si="0"/>
        <v>1</v>
      </c>
      <c r="G33" s="45">
        <f t="shared" si="0"/>
        <v>1</v>
      </c>
      <c r="H33" s="45">
        <f t="shared" si="0"/>
        <v>1</v>
      </c>
      <c r="I33" s="45">
        <f t="shared" si="0"/>
        <v>1</v>
      </c>
      <c r="J33" s="45">
        <f t="shared" si="0"/>
        <v>1</v>
      </c>
      <c r="K33" s="45">
        <f t="shared" si="0"/>
        <v>1</v>
      </c>
      <c r="L33" s="45">
        <f t="shared" si="0"/>
        <v>1</v>
      </c>
      <c r="M33" s="45">
        <f t="shared" si="0"/>
        <v>1</v>
      </c>
      <c r="N33" s="45">
        <f t="shared" si="0"/>
        <v>1</v>
      </c>
      <c r="O33" s="45">
        <f t="shared" si="0"/>
        <v>1</v>
      </c>
      <c r="P33" s="45">
        <f t="shared" si="0"/>
        <v>1</v>
      </c>
      <c r="Q33" s="45">
        <f t="shared" si="0"/>
        <v>1</v>
      </c>
      <c r="R33" s="45">
        <f t="shared" si="0"/>
        <v>1</v>
      </c>
      <c r="S33" s="45">
        <f t="shared" si="0"/>
        <v>1</v>
      </c>
      <c r="T33" s="45">
        <f t="shared" si="0"/>
        <v>1</v>
      </c>
      <c r="U33" s="45">
        <f t="shared" si="0"/>
        <v>1</v>
      </c>
      <c r="V33" s="45">
        <f t="shared" si="0"/>
        <v>1</v>
      </c>
      <c r="W33" s="45">
        <f t="shared" si="0"/>
        <v>1</v>
      </c>
      <c r="X33" s="45">
        <f t="shared" si="0"/>
        <v>1</v>
      </c>
      <c r="Y33" s="45">
        <f t="shared" si="0"/>
        <v>1</v>
      </c>
      <c r="Z33" s="45">
        <f t="shared" si="0"/>
        <v>1</v>
      </c>
      <c r="AA33" s="45">
        <f t="shared" si="0"/>
        <v>1</v>
      </c>
      <c r="AB33" s="45">
        <f t="shared" si="0"/>
        <v>1</v>
      </c>
      <c r="AC33" s="45">
        <f t="shared" si="0"/>
        <v>1</v>
      </c>
      <c r="AD33" s="45">
        <f t="shared" si="0"/>
        <v>1</v>
      </c>
      <c r="AE33" s="45">
        <f t="shared" si="0"/>
        <v>1</v>
      </c>
      <c r="AF33" s="45">
        <f t="shared" si="0"/>
        <v>1</v>
      </c>
      <c r="AG33" s="45">
        <f t="shared" si="0"/>
        <v>1</v>
      </c>
      <c r="AH33" s="45">
        <f t="shared" si="0"/>
        <v>1</v>
      </c>
      <c r="AI33" s="45">
        <f t="shared" si="0"/>
        <v>1</v>
      </c>
      <c r="AJ33" s="45">
        <f t="shared" si="0"/>
        <v>1</v>
      </c>
      <c r="AK33" s="45">
        <f t="shared" si="0"/>
        <v>1</v>
      </c>
      <c r="AL33" s="45">
        <f t="shared" si="0"/>
        <v>1</v>
      </c>
    </row>
    <row r="34" spans="1:38" x14ac:dyDescent="0.2">
      <c r="A34" s="59" t="s">
        <v>363</v>
      </c>
      <c r="B34" s="60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</row>
    <row r="35" spans="1:38" x14ac:dyDescent="0.2">
      <c r="A35" s="40" t="s">
        <v>27</v>
      </c>
      <c r="B35" s="2" t="s">
        <v>21</v>
      </c>
      <c r="C35" s="44">
        <v>0.1</v>
      </c>
      <c r="D35" s="44">
        <v>0.12</v>
      </c>
      <c r="E35" s="44">
        <v>0.12</v>
      </c>
      <c r="F35" s="44">
        <v>0.1</v>
      </c>
      <c r="G35" s="44">
        <v>0.1</v>
      </c>
      <c r="H35" s="44">
        <v>0.1</v>
      </c>
      <c r="I35" s="44">
        <v>7.0000000000000007E-2</v>
      </c>
      <c r="J35" s="44">
        <v>7.0000000000000007E-2</v>
      </c>
      <c r="K35" s="44">
        <v>7.0000000000000007E-2</v>
      </c>
      <c r="L35" s="44">
        <v>7.0000000000000007E-2</v>
      </c>
      <c r="M35" s="44">
        <v>7.0000000000000007E-2</v>
      </c>
      <c r="N35" s="44">
        <v>7.0000000000000007E-2</v>
      </c>
      <c r="O35" s="44">
        <v>0.05</v>
      </c>
      <c r="P35" s="44">
        <v>7.0000000000000007E-2</v>
      </c>
      <c r="Q35" s="44">
        <v>7.0000000000000007E-2</v>
      </c>
      <c r="R35" s="44">
        <v>0.05</v>
      </c>
      <c r="S35" s="44">
        <v>0.05</v>
      </c>
      <c r="T35" s="44">
        <v>0.05</v>
      </c>
      <c r="U35" s="44">
        <v>0.05</v>
      </c>
      <c r="V35" s="44">
        <v>0.05</v>
      </c>
      <c r="W35" s="44">
        <v>0.05</v>
      </c>
      <c r="X35" s="44">
        <v>0.05</v>
      </c>
      <c r="Y35" s="44">
        <v>0.05</v>
      </c>
      <c r="Z35" s="44">
        <v>0.05</v>
      </c>
      <c r="AA35" s="44">
        <v>0.05</v>
      </c>
      <c r="AB35" s="44">
        <v>7.0000000000000007E-2</v>
      </c>
      <c r="AC35" s="44">
        <v>7.0000000000000007E-2</v>
      </c>
      <c r="AD35" s="44">
        <v>0.05</v>
      </c>
      <c r="AE35" s="44">
        <v>0.05</v>
      </c>
      <c r="AF35" s="44">
        <v>0.05</v>
      </c>
      <c r="AG35" s="44">
        <v>0.05</v>
      </c>
      <c r="AH35" s="44">
        <v>0.05</v>
      </c>
      <c r="AI35" s="44">
        <v>0.05</v>
      </c>
      <c r="AJ35" s="44">
        <v>0.05</v>
      </c>
      <c r="AK35" s="44">
        <v>0.05</v>
      </c>
      <c r="AL35" s="44">
        <v>0.05</v>
      </c>
    </row>
    <row r="36" spans="1:38" x14ac:dyDescent="0.2">
      <c r="A36" s="40" t="s">
        <v>28</v>
      </c>
      <c r="B36" s="5">
        <v>0.03</v>
      </c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  <c r="AI36" s="87"/>
      <c r="AJ36" s="87"/>
      <c r="AK36" s="87"/>
      <c r="AL36" s="87"/>
    </row>
    <row r="37" spans="1:38" x14ac:dyDescent="0.2">
      <c r="A37" s="40" t="s">
        <v>29</v>
      </c>
      <c r="B37" s="72">
        <v>2.9000000000000001E-2</v>
      </c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</row>
    <row r="38" spans="1:38" x14ac:dyDescent="0.2">
      <c r="A38" s="40" t="s">
        <v>30</v>
      </c>
      <c r="B38" s="77">
        <v>0.3</v>
      </c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</row>
    <row r="39" spans="1:38" x14ac:dyDescent="0.2">
      <c r="A39" s="59" t="s">
        <v>364</v>
      </c>
      <c r="B39" s="79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</row>
    <row r="40" spans="1:38" x14ac:dyDescent="0.2">
      <c r="A40" s="40" t="s">
        <v>31</v>
      </c>
      <c r="B40" s="70">
        <v>150</v>
      </c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</row>
    <row r="41" spans="1:38" x14ac:dyDescent="0.2">
      <c r="A41" s="40" t="s">
        <v>32</v>
      </c>
      <c r="B41" s="80">
        <v>0.3</v>
      </c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</row>
    <row r="42" spans="1:38" x14ac:dyDescent="0.2">
      <c r="A42" s="40" t="s">
        <v>33</v>
      </c>
      <c r="B42" s="70">
        <v>3300</v>
      </c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</row>
    <row r="43" spans="1:38" x14ac:dyDescent="0.2">
      <c r="A43" s="40" t="s">
        <v>34</v>
      </c>
      <c r="B43" s="70">
        <v>220</v>
      </c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</row>
    <row r="44" spans="1:38" x14ac:dyDescent="0.2">
      <c r="A44" s="40" t="s">
        <v>245</v>
      </c>
      <c r="B44" s="80">
        <v>0.8</v>
      </c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</row>
    <row r="45" spans="1:38" x14ac:dyDescent="0.2">
      <c r="A45" s="40" t="s">
        <v>246</v>
      </c>
      <c r="B45" s="77">
        <v>0.25</v>
      </c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</row>
    <row r="46" spans="1:38" x14ac:dyDescent="0.2">
      <c r="A46" s="40" t="s">
        <v>247</v>
      </c>
      <c r="B46" s="77">
        <v>1.25</v>
      </c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</row>
    <row r="47" spans="1:38" x14ac:dyDescent="0.2">
      <c r="A47" s="40" t="s">
        <v>248</v>
      </c>
      <c r="B47" s="76">
        <v>3</v>
      </c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</row>
    <row r="48" spans="1:38" x14ac:dyDescent="0.2">
      <c r="A48" s="40" t="s">
        <v>249</v>
      </c>
      <c r="B48" s="6">
        <v>15</v>
      </c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</row>
    <row r="49" spans="1:38" x14ac:dyDescent="0.2">
      <c r="A49" s="40" t="s">
        <v>35</v>
      </c>
      <c r="B49" s="72">
        <v>0.02</v>
      </c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</row>
    <row r="50" spans="1:38" x14ac:dyDescent="0.2">
      <c r="A50" s="40" t="s">
        <v>36</v>
      </c>
      <c r="B50" s="77">
        <v>0.9</v>
      </c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</row>
    <row r="51" spans="1:38" x14ac:dyDescent="0.2">
      <c r="A51" s="59" t="s">
        <v>365</v>
      </c>
      <c r="B51" s="78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</row>
    <row r="52" spans="1:38" x14ac:dyDescent="0.2">
      <c r="A52" s="40" t="s">
        <v>250</v>
      </c>
      <c r="B52" s="6">
        <v>0.05</v>
      </c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</row>
    <row r="53" spans="1:38" x14ac:dyDescent="0.2">
      <c r="A53" s="40" t="s">
        <v>37</v>
      </c>
      <c r="B53" s="3">
        <v>30</v>
      </c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7"/>
    </row>
    <row r="54" spans="1:38" x14ac:dyDescent="0.2">
      <c r="A54" s="40" t="s">
        <v>38</v>
      </c>
      <c r="B54" s="6">
        <v>0.1</v>
      </c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87"/>
      <c r="AJ54" s="87"/>
      <c r="AK54" s="87"/>
      <c r="AL54" s="87"/>
    </row>
    <row r="55" spans="1:38" x14ac:dyDescent="0.2">
      <c r="A55" s="59" t="s">
        <v>366</v>
      </c>
      <c r="B55" s="60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</row>
    <row r="56" spans="1:38" x14ac:dyDescent="0.2">
      <c r="A56" s="40" t="s">
        <v>39</v>
      </c>
      <c r="B56" s="2" t="s">
        <v>40</v>
      </c>
      <c r="C56" s="89">
        <v>5500</v>
      </c>
      <c r="D56" s="89">
        <v>5500</v>
      </c>
      <c r="E56" s="89">
        <v>5500</v>
      </c>
      <c r="F56" s="89">
        <v>5500</v>
      </c>
      <c r="G56" s="89">
        <v>5500</v>
      </c>
      <c r="H56" s="89">
        <v>5500</v>
      </c>
      <c r="I56" s="89">
        <v>5500</v>
      </c>
      <c r="J56" s="89">
        <v>5500</v>
      </c>
      <c r="K56" s="89">
        <v>5500</v>
      </c>
      <c r="L56" s="89">
        <v>5500</v>
      </c>
      <c r="M56" s="89">
        <v>5500</v>
      </c>
      <c r="N56" s="89">
        <v>5500</v>
      </c>
      <c r="O56" s="89">
        <v>5500</v>
      </c>
      <c r="P56" s="89">
        <v>5500</v>
      </c>
      <c r="Q56" s="89">
        <v>5500</v>
      </c>
      <c r="R56" s="89">
        <v>5500</v>
      </c>
      <c r="S56" s="89">
        <v>5500</v>
      </c>
      <c r="T56" s="89">
        <v>5500</v>
      </c>
      <c r="U56" s="89">
        <v>5500</v>
      </c>
      <c r="V56" s="89">
        <v>5500</v>
      </c>
      <c r="W56" s="89">
        <v>5500</v>
      </c>
      <c r="X56" s="89">
        <v>5500</v>
      </c>
      <c r="Y56" s="89">
        <v>5500</v>
      </c>
      <c r="Z56" s="89">
        <v>5500</v>
      </c>
      <c r="AA56" s="89">
        <v>5500</v>
      </c>
      <c r="AB56" s="89">
        <v>5500</v>
      </c>
      <c r="AC56" s="89">
        <v>5500</v>
      </c>
      <c r="AD56" s="89">
        <v>5500</v>
      </c>
      <c r="AE56" s="89">
        <v>5500</v>
      </c>
      <c r="AF56" s="89">
        <v>5500</v>
      </c>
      <c r="AG56" s="89">
        <v>5500</v>
      </c>
      <c r="AH56" s="89">
        <v>5500</v>
      </c>
      <c r="AI56" s="89">
        <v>5500</v>
      </c>
      <c r="AJ56" s="89">
        <v>5500</v>
      </c>
      <c r="AK56" s="89">
        <v>5500</v>
      </c>
      <c r="AL56" s="89">
        <v>5500</v>
      </c>
    </row>
    <row r="57" spans="1:38" x14ac:dyDescent="0.2">
      <c r="A57" s="40" t="s">
        <v>41</v>
      </c>
      <c r="B57" s="75" t="s">
        <v>40</v>
      </c>
      <c r="C57" s="89">
        <v>0</v>
      </c>
      <c r="D57" s="89">
        <v>0</v>
      </c>
      <c r="E57" s="89">
        <v>0</v>
      </c>
      <c r="F57" s="89">
        <v>0</v>
      </c>
      <c r="G57" s="89">
        <v>0</v>
      </c>
      <c r="H57" s="89">
        <v>0</v>
      </c>
      <c r="I57" s="89">
        <v>0</v>
      </c>
      <c r="J57" s="89">
        <v>4000</v>
      </c>
      <c r="K57" s="89">
        <v>4000</v>
      </c>
      <c r="L57" s="89">
        <v>4000</v>
      </c>
      <c r="M57" s="89">
        <v>4000</v>
      </c>
      <c r="N57" s="89">
        <v>4000</v>
      </c>
      <c r="O57" s="89">
        <v>4000</v>
      </c>
      <c r="P57" s="89">
        <v>4000</v>
      </c>
      <c r="Q57" s="89">
        <v>4000</v>
      </c>
      <c r="R57" s="89">
        <v>4000</v>
      </c>
      <c r="S57" s="89">
        <v>4000</v>
      </c>
      <c r="T57" s="89">
        <v>4000</v>
      </c>
      <c r="U57" s="89">
        <v>4000</v>
      </c>
      <c r="V57" s="89">
        <v>4000</v>
      </c>
      <c r="W57" s="89">
        <v>4000</v>
      </c>
      <c r="X57" s="89">
        <v>4000</v>
      </c>
      <c r="Y57" s="89">
        <v>4000</v>
      </c>
      <c r="Z57" s="89">
        <v>4000</v>
      </c>
      <c r="AA57" s="89">
        <v>4000</v>
      </c>
      <c r="AB57" s="89">
        <v>4000</v>
      </c>
      <c r="AC57" s="89">
        <v>4000</v>
      </c>
      <c r="AD57" s="89">
        <v>4000</v>
      </c>
      <c r="AE57" s="89">
        <v>4000</v>
      </c>
      <c r="AF57" s="89">
        <v>4000</v>
      </c>
      <c r="AG57" s="89">
        <v>4000</v>
      </c>
      <c r="AH57" s="89">
        <v>4000</v>
      </c>
      <c r="AI57" s="89">
        <v>4000</v>
      </c>
      <c r="AJ57" s="89">
        <v>4000</v>
      </c>
      <c r="AK57" s="89">
        <v>4000</v>
      </c>
      <c r="AL57" s="89">
        <v>4000</v>
      </c>
    </row>
    <row r="58" spans="1:38" x14ac:dyDescent="0.2">
      <c r="A58" s="40" t="s">
        <v>42</v>
      </c>
      <c r="B58" s="2" t="s">
        <v>40</v>
      </c>
      <c r="C58" s="89">
        <v>0</v>
      </c>
      <c r="D58" s="89">
        <v>0</v>
      </c>
      <c r="E58" s="89">
        <v>0</v>
      </c>
      <c r="F58" s="89">
        <v>0</v>
      </c>
      <c r="G58" s="89">
        <v>0</v>
      </c>
      <c r="H58" s="89">
        <v>0</v>
      </c>
      <c r="I58" s="89">
        <v>0</v>
      </c>
      <c r="J58" s="89">
        <v>1800</v>
      </c>
      <c r="K58" s="89">
        <v>1800</v>
      </c>
      <c r="L58" s="89">
        <v>1800</v>
      </c>
      <c r="M58" s="89">
        <v>1800</v>
      </c>
      <c r="N58" s="89">
        <v>1800</v>
      </c>
      <c r="O58" s="89">
        <v>1800</v>
      </c>
      <c r="P58" s="89">
        <v>1800</v>
      </c>
      <c r="Q58" s="89">
        <v>1800</v>
      </c>
      <c r="R58" s="89">
        <v>1800</v>
      </c>
      <c r="S58" s="89">
        <v>1800</v>
      </c>
      <c r="T58" s="89">
        <v>1800</v>
      </c>
      <c r="U58" s="89">
        <v>1800</v>
      </c>
      <c r="V58" s="89">
        <v>1800</v>
      </c>
      <c r="W58" s="89">
        <v>1800</v>
      </c>
      <c r="X58" s="89">
        <v>1800</v>
      </c>
      <c r="Y58" s="89">
        <v>1800</v>
      </c>
      <c r="Z58" s="89">
        <v>1800</v>
      </c>
      <c r="AA58" s="89">
        <v>1800</v>
      </c>
      <c r="AB58" s="89">
        <v>1800</v>
      </c>
      <c r="AC58" s="89">
        <v>1800</v>
      </c>
      <c r="AD58" s="89">
        <v>1800</v>
      </c>
      <c r="AE58" s="89">
        <v>1800</v>
      </c>
      <c r="AF58" s="89">
        <v>1800</v>
      </c>
      <c r="AG58" s="89">
        <v>1800</v>
      </c>
      <c r="AH58" s="89">
        <v>1800</v>
      </c>
      <c r="AI58" s="89">
        <v>1800</v>
      </c>
      <c r="AJ58" s="89">
        <v>1800</v>
      </c>
      <c r="AK58" s="89">
        <v>1800</v>
      </c>
      <c r="AL58" s="89">
        <v>1800</v>
      </c>
    </row>
    <row r="59" spans="1:38" x14ac:dyDescent="0.2">
      <c r="A59" s="40" t="s">
        <v>43</v>
      </c>
      <c r="B59" s="2" t="s">
        <v>40</v>
      </c>
      <c r="C59" s="89">
        <v>0</v>
      </c>
      <c r="D59" s="89">
        <v>0</v>
      </c>
      <c r="E59" s="89">
        <v>0</v>
      </c>
      <c r="F59" s="89">
        <v>0</v>
      </c>
      <c r="G59" s="89">
        <v>0</v>
      </c>
      <c r="H59" s="89">
        <v>0</v>
      </c>
      <c r="I59" s="89">
        <v>0</v>
      </c>
      <c r="J59" s="89">
        <v>0</v>
      </c>
      <c r="K59" s="89">
        <v>0</v>
      </c>
      <c r="L59" s="89">
        <v>0</v>
      </c>
      <c r="M59" s="89">
        <v>0</v>
      </c>
      <c r="N59" s="89">
        <v>0</v>
      </c>
      <c r="O59" s="89">
        <v>2000</v>
      </c>
      <c r="P59" s="89">
        <v>2000</v>
      </c>
      <c r="Q59" s="89">
        <v>2000</v>
      </c>
      <c r="R59" s="89">
        <v>2000</v>
      </c>
      <c r="S59" s="89">
        <v>2000</v>
      </c>
      <c r="T59" s="89">
        <v>2000</v>
      </c>
      <c r="U59" s="89">
        <v>2000</v>
      </c>
      <c r="V59" s="89">
        <v>2000</v>
      </c>
      <c r="W59" s="89">
        <v>2000</v>
      </c>
      <c r="X59" s="89">
        <v>2000</v>
      </c>
      <c r="Y59" s="89">
        <v>2000</v>
      </c>
      <c r="Z59" s="89">
        <v>2000</v>
      </c>
      <c r="AA59" s="89">
        <v>2000</v>
      </c>
      <c r="AB59" s="89">
        <v>2000</v>
      </c>
      <c r="AC59" s="89">
        <v>2000</v>
      </c>
      <c r="AD59" s="89">
        <v>2000</v>
      </c>
      <c r="AE59" s="89">
        <v>2000</v>
      </c>
      <c r="AF59" s="89">
        <v>2000</v>
      </c>
      <c r="AG59" s="89">
        <v>2000</v>
      </c>
      <c r="AH59" s="89">
        <v>2000</v>
      </c>
      <c r="AI59" s="89">
        <v>2000</v>
      </c>
      <c r="AJ59" s="89">
        <v>2000</v>
      </c>
      <c r="AK59" s="89">
        <v>2000</v>
      </c>
      <c r="AL59" s="89">
        <v>2000</v>
      </c>
    </row>
    <row r="60" spans="1:38" x14ac:dyDescent="0.2">
      <c r="A60" s="40" t="s">
        <v>44</v>
      </c>
      <c r="B60" s="5">
        <v>0.16</v>
      </c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</row>
    <row r="61" spans="1:38" x14ac:dyDescent="0.2">
      <c r="A61" s="59" t="s">
        <v>367</v>
      </c>
      <c r="B61" s="60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</row>
    <row r="62" spans="1:38" x14ac:dyDescent="0.2">
      <c r="A62" s="40" t="s">
        <v>45</v>
      </c>
      <c r="B62" s="2" t="s">
        <v>40</v>
      </c>
      <c r="C62" s="89">
        <v>500</v>
      </c>
      <c r="D62" s="89">
        <v>500</v>
      </c>
      <c r="E62" s="89">
        <v>500</v>
      </c>
      <c r="F62" s="89">
        <v>500</v>
      </c>
      <c r="G62" s="89">
        <v>500</v>
      </c>
      <c r="H62" s="89">
        <v>500</v>
      </c>
      <c r="I62" s="89">
        <v>500</v>
      </c>
      <c r="J62" s="89">
        <v>500</v>
      </c>
      <c r="K62" s="89">
        <v>500</v>
      </c>
      <c r="L62" s="89">
        <v>500</v>
      </c>
      <c r="M62" s="89">
        <v>500</v>
      </c>
      <c r="N62" s="89">
        <v>500</v>
      </c>
      <c r="O62" s="89">
        <v>500</v>
      </c>
      <c r="P62" s="89">
        <v>500</v>
      </c>
      <c r="Q62" s="89">
        <v>500</v>
      </c>
      <c r="R62" s="89">
        <v>500</v>
      </c>
      <c r="S62" s="89">
        <v>500</v>
      </c>
      <c r="T62" s="89">
        <v>500</v>
      </c>
      <c r="U62" s="89">
        <v>500</v>
      </c>
      <c r="V62" s="89">
        <v>500</v>
      </c>
      <c r="W62" s="89">
        <v>500</v>
      </c>
      <c r="X62" s="89">
        <v>500</v>
      </c>
      <c r="Y62" s="89">
        <v>500</v>
      </c>
      <c r="Z62" s="89">
        <v>500</v>
      </c>
      <c r="AA62" s="89">
        <v>500</v>
      </c>
      <c r="AB62" s="89">
        <v>500</v>
      </c>
      <c r="AC62" s="89">
        <v>500</v>
      </c>
      <c r="AD62" s="89">
        <v>500</v>
      </c>
      <c r="AE62" s="89">
        <v>500</v>
      </c>
      <c r="AF62" s="89">
        <v>500</v>
      </c>
      <c r="AG62" s="89">
        <v>500</v>
      </c>
      <c r="AH62" s="89">
        <v>500</v>
      </c>
      <c r="AI62" s="89">
        <v>500</v>
      </c>
      <c r="AJ62" s="89">
        <v>500</v>
      </c>
      <c r="AK62" s="89">
        <v>500</v>
      </c>
      <c r="AL62" s="89">
        <v>500</v>
      </c>
    </row>
    <row r="63" spans="1:38" x14ac:dyDescent="0.2">
      <c r="A63" s="40" t="s">
        <v>46</v>
      </c>
      <c r="B63" s="2" t="s">
        <v>40</v>
      </c>
      <c r="C63" s="89">
        <v>50</v>
      </c>
      <c r="D63" s="89">
        <v>50</v>
      </c>
      <c r="E63" s="89">
        <v>50</v>
      </c>
      <c r="F63" s="89">
        <v>50</v>
      </c>
      <c r="G63" s="89">
        <v>50</v>
      </c>
      <c r="H63" s="89">
        <v>50</v>
      </c>
      <c r="I63" s="89">
        <v>50</v>
      </c>
      <c r="J63" s="89">
        <v>50</v>
      </c>
      <c r="K63" s="89">
        <v>50</v>
      </c>
      <c r="L63" s="89">
        <v>50</v>
      </c>
      <c r="M63" s="89">
        <v>50</v>
      </c>
      <c r="N63" s="89">
        <v>50</v>
      </c>
      <c r="O63" s="89">
        <v>50</v>
      </c>
      <c r="P63" s="89">
        <v>50</v>
      </c>
      <c r="Q63" s="89">
        <v>50</v>
      </c>
      <c r="R63" s="89">
        <v>50</v>
      </c>
      <c r="S63" s="89">
        <v>50</v>
      </c>
      <c r="T63" s="89">
        <v>50</v>
      </c>
      <c r="U63" s="89">
        <v>50</v>
      </c>
      <c r="V63" s="89">
        <v>50</v>
      </c>
      <c r="W63" s="89">
        <v>50</v>
      </c>
      <c r="X63" s="89">
        <v>50</v>
      </c>
      <c r="Y63" s="89">
        <v>50</v>
      </c>
      <c r="Z63" s="89">
        <v>50</v>
      </c>
      <c r="AA63" s="89">
        <v>50</v>
      </c>
      <c r="AB63" s="89">
        <v>50</v>
      </c>
      <c r="AC63" s="89">
        <v>50</v>
      </c>
      <c r="AD63" s="89">
        <v>50</v>
      </c>
      <c r="AE63" s="89">
        <v>50</v>
      </c>
      <c r="AF63" s="89">
        <v>50</v>
      </c>
      <c r="AG63" s="89">
        <v>50</v>
      </c>
      <c r="AH63" s="89">
        <v>50</v>
      </c>
      <c r="AI63" s="89">
        <v>50</v>
      </c>
      <c r="AJ63" s="89">
        <v>50</v>
      </c>
      <c r="AK63" s="89">
        <v>50</v>
      </c>
      <c r="AL63" s="89">
        <v>50</v>
      </c>
    </row>
    <row r="64" spans="1:38" x14ac:dyDescent="0.2">
      <c r="A64" s="40" t="s">
        <v>47</v>
      </c>
      <c r="B64" s="2" t="s">
        <v>40</v>
      </c>
      <c r="C64" s="89">
        <v>260</v>
      </c>
      <c r="D64" s="89">
        <v>260</v>
      </c>
      <c r="E64" s="89">
        <v>260</v>
      </c>
      <c r="F64" s="89">
        <v>260</v>
      </c>
      <c r="G64" s="89">
        <v>260</v>
      </c>
      <c r="H64" s="89">
        <v>260</v>
      </c>
      <c r="I64" s="89">
        <v>260</v>
      </c>
      <c r="J64" s="89">
        <v>260</v>
      </c>
      <c r="K64" s="89">
        <v>260</v>
      </c>
      <c r="L64" s="89">
        <v>260</v>
      </c>
      <c r="M64" s="89">
        <v>260</v>
      </c>
      <c r="N64" s="89">
        <v>260</v>
      </c>
      <c r="O64" s="89">
        <v>260</v>
      </c>
      <c r="P64" s="89">
        <v>260</v>
      </c>
      <c r="Q64" s="89">
        <v>260</v>
      </c>
      <c r="R64" s="89">
        <v>260</v>
      </c>
      <c r="S64" s="89">
        <v>260</v>
      </c>
      <c r="T64" s="89">
        <v>260</v>
      </c>
      <c r="U64" s="89">
        <v>260</v>
      </c>
      <c r="V64" s="89">
        <v>260</v>
      </c>
      <c r="W64" s="89">
        <v>260</v>
      </c>
      <c r="X64" s="89">
        <v>260</v>
      </c>
      <c r="Y64" s="89">
        <v>260</v>
      </c>
      <c r="Z64" s="89">
        <v>260</v>
      </c>
      <c r="AA64" s="89">
        <v>260</v>
      </c>
      <c r="AB64" s="89">
        <v>260</v>
      </c>
      <c r="AC64" s="89">
        <v>260</v>
      </c>
      <c r="AD64" s="89">
        <v>260</v>
      </c>
      <c r="AE64" s="89">
        <v>260</v>
      </c>
      <c r="AF64" s="89">
        <v>260</v>
      </c>
      <c r="AG64" s="89">
        <v>260</v>
      </c>
      <c r="AH64" s="89">
        <v>260</v>
      </c>
      <c r="AI64" s="89">
        <v>260</v>
      </c>
      <c r="AJ64" s="89">
        <v>260</v>
      </c>
      <c r="AK64" s="89">
        <v>260</v>
      </c>
      <c r="AL64" s="89">
        <v>260</v>
      </c>
    </row>
    <row r="65" spans="1:38" x14ac:dyDescent="0.2">
      <c r="A65" s="40" t="s">
        <v>48</v>
      </c>
      <c r="B65" s="2" t="s">
        <v>40</v>
      </c>
      <c r="C65" s="89">
        <v>0</v>
      </c>
      <c r="D65" s="89">
        <v>0</v>
      </c>
      <c r="E65" s="89">
        <v>0</v>
      </c>
      <c r="F65" s="89">
        <v>0</v>
      </c>
      <c r="G65" s="89">
        <v>0</v>
      </c>
      <c r="H65" s="89">
        <v>0</v>
      </c>
      <c r="I65" s="89">
        <v>0</v>
      </c>
      <c r="J65" s="89">
        <v>0</v>
      </c>
      <c r="K65" s="89">
        <v>0</v>
      </c>
      <c r="L65" s="89">
        <v>0</v>
      </c>
      <c r="M65" s="89">
        <v>0</v>
      </c>
      <c r="N65" s="89">
        <v>0</v>
      </c>
      <c r="O65" s="89">
        <v>0</v>
      </c>
      <c r="P65" s="89">
        <v>0</v>
      </c>
      <c r="Q65" s="89">
        <v>0</v>
      </c>
      <c r="R65" s="89">
        <v>0</v>
      </c>
      <c r="S65" s="89">
        <v>0</v>
      </c>
      <c r="T65" s="89">
        <v>0</v>
      </c>
      <c r="U65" s="89">
        <v>0</v>
      </c>
      <c r="V65" s="89">
        <v>0</v>
      </c>
      <c r="W65" s="89">
        <v>0</v>
      </c>
      <c r="X65" s="89">
        <v>0</v>
      </c>
      <c r="Y65" s="89">
        <v>0</v>
      </c>
      <c r="Z65" s="89">
        <v>0</v>
      </c>
      <c r="AA65" s="89">
        <v>0</v>
      </c>
      <c r="AB65" s="89">
        <v>0</v>
      </c>
      <c r="AC65" s="89">
        <v>0</v>
      </c>
      <c r="AD65" s="89">
        <v>0</v>
      </c>
      <c r="AE65" s="89">
        <v>0</v>
      </c>
      <c r="AF65" s="89">
        <v>0</v>
      </c>
      <c r="AG65" s="89">
        <v>0</v>
      </c>
      <c r="AH65" s="89">
        <v>0</v>
      </c>
      <c r="AI65" s="89">
        <v>0</v>
      </c>
      <c r="AJ65" s="89">
        <v>0</v>
      </c>
      <c r="AK65" s="89">
        <v>0</v>
      </c>
      <c r="AL65" s="89">
        <v>0</v>
      </c>
    </row>
    <row r="66" spans="1:38" x14ac:dyDescent="0.2">
      <c r="A66" s="40" t="s">
        <v>49</v>
      </c>
      <c r="B66" s="2" t="s">
        <v>40</v>
      </c>
      <c r="C66" s="89">
        <v>200</v>
      </c>
      <c r="D66" s="89">
        <v>200</v>
      </c>
      <c r="E66" s="89">
        <v>200</v>
      </c>
      <c r="F66" s="89">
        <v>200</v>
      </c>
      <c r="G66" s="89">
        <v>200</v>
      </c>
      <c r="H66" s="89">
        <v>200</v>
      </c>
      <c r="I66" s="89">
        <v>500</v>
      </c>
      <c r="J66" s="89">
        <v>500</v>
      </c>
      <c r="K66" s="89">
        <v>500</v>
      </c>
      <c r="L66" s="89">
        <v>500</v>
      </c>
      <c r="M66" s="89">
        <v>500</v>
      </c>
      <c r="N66" s="89">
        <v>500</v>
      </c>
      <c r="O66" s="89">
        <v>500</v>
      </c>
      <c r="P66" s="89">
        <v>500</v>
      </c>
      <c r="Q66" s="89">
        <v>500</v>
      </c>
      <c r="R66" s="89">
        <v>500</v>
      </c>
      <c r="S66" s="89">
        <v>500</v>
      </c>
      <c r="T66" s="89">
        <v>500</v>
      </c>
      <c r="U66" s="89">
        <v>500</v>
      </c>
      <c r="V66" s="89">
        <v>500</v>
      </c>
      <c r="W66" s="89">
        <v>500</v>
      </c>
      <c r="X66" s="89">
        <v>500</v>
      </c>
      <c r="Y66" s="89">
        <v>500</v>
      </c>
      <c r="Z66" s="89">
        <v>500</v>
      </c>
      <c r="AA66" s="89">
        <v>500</v>
      </c>
      <c r="AB66" s="89">
        <v>500</v>
      </c>
      <c r="AC66" s="89">
        <v>500</v>
      </c>
      <c r="AD66" s="89">
        <v>500</v>
      </c>
      <c r="AE66" s="89">
        <v>500</v>
      </c>
      <c r="AF66" s="89">
        <v>500</v>
      </c>
      <c r="AG66" s="89">
        <v>500</v>
      </c>
      <c r="AH66" s="89">
        <v>500</v>
      </c>
      <c r="AI66" s="89">
        <v>500</v>
      </c>
      <c r="AJ66" s="89">
        <v>500</v>
      </c>
      <c r="AK66" s="89">
        <v>500</v>
      </c>
      <c r="AL66" s="89">
        <v>500</v>
      </c>
    </row>
    <row r="67" spans="1:38" x14ac:dyDescent="0.2">
      <c r="A67" s="40" t="s">
        <v>50</v>
      </c>
      <c r="B67" s="2" t="s">
        <v>40</v>
      </c>
      <c r="C67" s="89">
        <v>300</v>
      </c>
      <c r="D67" s="89">
        <v>300</v>
      </c>
      <c r="E67" s="89">
        <v>300</v>
      </c>
      <c r="F67" s="89">
        <v>300</v>
      </c>
      <c r="G67" s="89">
        <v>300</v>
      </c>
      <c r="H67" s="89">
        <v>300</v>
      </c>
      <c r="I67" s="89">
        <v>300</v>
      </c>
      <c r="J67" s="89">
        <v>300</v>
      </c>
      <c r="K67" s="89">
        <v>300</v>
      </c>
      <c r="L67" s="89">
        <v>300</v>
      </c>
      <c r="M67" s="89">
        <v>300</v>
      </c>
      <c r="N67" s="89">
        <v>300</v>
      </c>
      <c r="O67" s="89">
        <v>300</v>
      </c>
      <c r="P67" s="89">
        <v>300</v>
      </c>
      <c r="Q67" s="89">
        <v>300</v>
      </c>
      <c r="R67" s="89">
        <v>300</v>
      </c>
      <c r="S67" s="89">
        <v>300</v>
      </c>
      <c r="T67" s="89">
        <v>300</v>
      </c>
      <c r="U67" s="89">
        <v>300</v>
      </c>
      <c r="V67" s="89">
        <v>300</v>
      </c>
      <c r="W67" s="89">
        <v>300</v>
      </c>
      <c r="X67" s="89">
        <v>300</v>
      </c>
      <c r="Y67" s="89">
        <v>300</v>
      </c>
      <c r="Z67" s="89">
        <v>300</v>
      </c>
      <c r="AA67" s="89">
        <v>300</v>
      </c>
      <c r="AB67" s="89">
        <v>300</v>
      </c>
      <c r="AC67" s="89">
        <v>300</v>
      </c>
      <c r="AD67" s="89">
        <v>300</v>
      </c>
      <c r="AE67" s="89">
        <v>300</v>
      </c>
      <c r="AF67" s="89">
        <v>300</v>
      </c>
      <c r="AG67" s="89">
        <v>300</v>
      </c>
      <c r="AH67" s="89">
        <v>300</v>
      </c>
      <c r="AI67" s="89">
        <v>300</v>
      </c>
      <c r="AJ67" s="89">
        <v>300</v>
      </c>
      <c r="AK67" s="89">
        <v>300</v>
      </c>
      <c r="AL67" s="89">
        <v>300</v>
      </c>
    </row>
    <row r="68" spans="1:38" x14ac:dyDescent="0.2">
      <c r="A68" s="40" t="s">
        <v>51</v>
      </c>
      <c r="B68" s="2" t="s">
        <v>40</v>
      </c>
      <c r="C68" s="89">
        <v>167</v>
      </c>
      <c r="D68" s="89">
        <v>167</v>
      </c>
      <c r="E68" s="89">
        <v>167</v>
      </c>
      <c r="F68" s="89">
        <v>167</v>
      </c>
      <c r="G68" s="89">
        <v>167</v>
      </c>
      <c r="H68" s="89">
        <v>167</v>
      </c>
      <c r="I68" s="89">
        <v>167</v>
      </c>
      <c r="J68" s="89">
        <v>167</v>
      </c>
      <c r="K68" s="89">
        <v>167</v>
      </c>
      <c r="L68" s="89">
        <v>167</v>
      </c>
      <c r="M68" s="89">
        <v>167</v>
      </c>
      <c r="N68" s="89">
        <v>167</v>
      </c>
      <c r="O68" s="89">
        <v>167</v>
      </c>
      <c r="P68" s="89">
        <v>167</v>
      </c>
      <c r="Q68" s="89">
        <v>167</v>
      </c>
      <c r="R68" s="89">
        <v>167</v>
      </c>
      <c r="S68" s="89">
        <v>167</v>
      </c>
      <c r="T68" s="89">
        <v>167</v>
      </c>
      <c r="U68" s="89">
        <v>167</v>
      </c>
      <c r="V68" s="89">
        <v>167</v>
      </c>
      <c r="W68" s="89">
        <v>167</v>
      </c>
      <c r="X68" s="89">
        <v>167</v>
      </c>
      <c r="Y68" s="89">
        <v>167</v>
      </c>
      <c r="Z68" s="89">
        <v>167</v>
      </c>
      <c r="AA68" s="89">
        <v>167</v>
      </c>
      <c r="AB68" s="89">
        <v>167</v>
      </c>
      <c r="AC68" s="89">
        <v>167</v>
      </c>
      <c r="AD68" s="89">
        <v>167</v>
      </c>
      <c r="AE68" s="89">
        <v>167</v>
      </c>
      <c r="AF68" s="89">
        <v>167</v>
      </c>
      <c r="AG68" s="89">
        <v>167</v>
      </c>
      <c r="AH68" s="89">
        <v>167</v>
      </c>
      <c r="AI68" s="89">
        <v>167</v>
      </c>
      <c r="AJ68" s="89">
        <v>167</v>
      </c>
      <c r="AK68" s="89">
        <v>167</v>
      </c>
      <c r="AL68" s="89">
        <v>167</v>
      </c>
    </row>
    <row r="69" spans="1:38" x14ac:dyDescent="0.2">
      <c r="A69" s="40" t="s">
        <v>52</v>
      </c>
      <c r="B69" s="2" t="s">
        <v>40</v>
      </c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</row>
    <row r="70" spans="1:38" x14ac:dyDescent="0.2">
      <c r="A70" s="40" t="s">
        <v>53</v>
      </c>
      <c r="B70" s="75" t="s">
        <v>40</v>
      </c>
      <c r="C70" s="89">
        <v>300</v>
      </c>
      <c r="D70" s="89">
        <v>300</v>
      </c>
      <c r="E70" s="89">
        <v>300</v>
      </c>
      <c r="F70" s="89">
        <v>300</v>
      </c>
      <c r="G70" s="89">
        <v>300</v>
      </c>
      <c r="H70" s="89">
        <v>300</v>
      </c>
      <c r="I70" s="89">
        <v>300</v>
      </c>
      <c r="J70" s="89">
        <v>300</v>
      </c>
      <c r="K70" s="89">
        <v>300</v>
      </c>
      <c r="L70" s="89">
        <v>300</v>
      </c>
      <c r="M70" s="89">
        <v>300</v>
      </c>
      <c r="N70" s="89">
        <v>300</v>
      </c>
      <c r="O70" s="89">
        <v>300</v>
      </c>
      <c r="P70" s="89">
        <v>300</v>
      </c>
      <c r="Q70" s="89">
        <v>300</v>
      </c>
      <c r="R70" s="89">
        <v>300</v>
      </c>
      <c r="S70" s="89">
        <v>300</v>
      </c>
      <c r="T70" s="89">
        <v>300</v>
      </c>
      <c r="U70" s="89">
        <v>300</v>
      </c>
      <c r="V70" s="89">
        <v>300</v>
      </c>
      <c r="W70" s="89">
        <v>300</v>
      </c>
      <c r="X70" s="89">
        <v>300</v>
      </c>
      <c r="Y70" s="89">
        <v>300</v>
      </c>
      <c r="Z70" s="89">
        <v>300</v>
      </c>
      <c r="AA70" s="89">
        <v>300</v>
      </c>
      <c r="AB70" s="89">
        <v>300</v>
      </c>
      <c r="AC70" s="89">
        <v>300</v>
      </c>
      <c r="AD70" s="89">
        <v>300</v>
      </c>
      <c r="AE70" s="89">
        <v>300</v>
      </c>
      <c r="AF70" s="89">
        <v>300</v>
      </c>
      <c r="AG70" s="89">
        <v>300</v>
      </c>
      <c r="AH70" s="89">
        <v>300</v>
      </c>
      <c r="AI70" s="89">
        <v>300</v>
      </c>
      <c r="AJ70" s="89">
        <v>300</v>
      </c>
      <c r="AK70" s="89">
        <v>300</v>
      </c>
      <c r="AL70" s="89">
        <v>300</v>
      </c>
    </row>
    <row r="71" spans="1:38" x14ac:dyDescent="0.2">
      <c r="A71" s="40" t="s">
        <v>54</v>
      </c>
      <c r="B71" s="2" t="s">
        <v>40</v>
      </c>
      <c r="C71" s="89">
        <v>83</v>
      </c>
      <c r="D71" s="89">
        <v>83</v>
      </c>
      <c r="E71" s="89">
        <v>83</v>
      </c>
      <c r="F71" s="89">
        <v>83</v>
      </c>
      <c r="G71" s="89">
        <v>83</v>
      </c>
      <c r="H71" s="89">
        <v>83</v>
      </c>
      <c r="I71" s="89">
        <v>83</v>
      </c>
      <c r="J71" s="89">
        <v>83</v>
      </c>
      <c r="K71" s="89">
        <v>83</v>
      </c>
      <c r="L71" s="89">
        <v>83</v>
      </c>
      <c r="M71" s="89">
        <v>83</v>
      </c>
      <c r="N71" s="89">
        <v>83</v>
      </c>
      <c r="O71" s="89">
        <v>83</v>
      </c>
      <c r="P71" s="89">
        <v>83</v>
      </c>
      <c r="Q71" s="89">
        <v>83</v>
      </c>
      <c r="R71" s="89">
        <v>83</v>
      </c>
      <c r="S71" s="89">
        <v>83</v>
      </c>
      <c r="T71" s="89">
        <v>83</v>
      </c>
      <c r="U71" s="89">
        <v>83</v>
      </c>
      <c r="V71" s="89">
        <v>83</v>
      </c>
      <c r="W71" s="89">
        <v>83</v>
      </c>
      <c r="X71" s="89">
        <v>83</v>
      </c>
      <c r="Y71" s="89">
        <v>83</v>
      </c>
      <c r="Z71" s="89">
        <v>83</v>
      </c>
      <c r="AA71" s="89">
        <v>83</v>
      </c>
      <c r="AB71" s="89">
        <v>83</v>
      </c>
      <c r="AC71" s="89">
        <v>83</v>
      </c>
      <c r="AD71" s="89">
        <v>83</v>
      </c>
      <c r="AE71" s="89">
        <v>83</v>
      </c>
      <c r="AF71" s="89">
        <v>83</v>
      </c>
      <c r="AG71" s="89">
        <v>83</v>
      </c>
      <c r="AH71" s="89">
        <v>83</v>
      </c>
      <c r="AI71" s="89">
        <v>83</v>
      </c>
      <c r="AJ71" s="89">
        <v>83</v>
      </c>
      <c r="AK71" s="89">
        <v>83</v>
      </c>
      <c r="AL71" s="89">
        <v>83</v>
      </c>
    </row>
    <row r="72" spans="1:38" x14ac:dyDescent="0.2">
      <c r="A72" s="40" t="s">
        <v>55</v>
      </c>
      <c r="B72" s="2" t="s">
        <v>40</v>
      </c>
      <c r="C72" s="89">
        <v>100</v>
      </c>
      <c r="D72" s="89">
        <v>100</v>
      </c>
      <c r="E72" s="89">
        <v>100</v>
      </c>
      <c r="F72" s="89">
        <v>100</v>
      </c>
      <c r="G72" s="89">
        <v>100</v>
      </c>
      <c r="H72" s="89">
        <v>100</v>
      </c>
      <c r="I72" s="89">
        <v>100</v>
      </c>
      <c r="J72" s="89">
        <v>100</v>
      </c>
      <c r="K72" s="89">
        <v>100</v>
      </c>
      <c r="L72" s="89">
        <v>100</v>
      </c>
      <c r="M72" s="89">
        <v>100</v>
      </c>
      <c r="N72" s="89">
        <v>100</v>
      </c>
      <c r="O72" s="89">
        <v>100</v>
      </c>
      <c r="P72" s="89">
        <v>100</v>
      </c>
      <c r="Q72" s="89">
        <v>100</v>
      </c>
      <c r="R72" s="89">
        <v>100</v>
      </c>
      <c r="S72" s="89">
        <v>100</v>
      </c>
      <c r="T72" s="89">
        <v>100</v>
      </c>
      <c r="U72" s="89">
        <v>100</v>
      </c>
      <c r="V72" s="89">
        <v>100</v>
      </c>
      <c r="W72" s="89">
        <v>100</v>
      </c>
      <c r="X72" s="89">
        <v>100</v>
      </c>
      <c r="Y72" s="89">
        <v>100</v>
      </c>
      <c r="Z72" s="89">
        <v>100</v>
      </c>
      <c r="AA72" s="89">
        <v>100</v>
      </c>
      <c r="AB72" s="89">
        <v>100</v>
      </c>
      <c r="AC72" s="89">
        <v>100</v>
      </c>
      <c r="AD72" s="89">
        <v>100</v>
      </c>
      <c r="AE72" s="89">
        <v>100</v>
      </c>
      <c r="AF72" s="89">
        <v>100</v>
      </c>
      <c r="AG72" s="89">
        <v>100</v>
      </c>
      <c r="AH72" s="89">
        <v>100</v>
      </c>
      <c r="AI72" s="89">
        <v>100</v>
      </c>
      <c r="AJ72" s="89">
        <v>100</v>
      </c>
      <c r="AK72" s="89">
        <v>100</v>
      </c>
      <c r="AL72" s="89">
        <v>100</v>
      </c>
    </row>
    <row r="73" spans="1:38" x14ac:dyDescent="0.2">
      <c r="A73" s="41" t="s">
        <v>254</v>
      </c>
      <c r="B73" s="2" t="s">
        <v>40</v>
      </c>
      <c r="C73" s="89">
        <v>400</v>
      </c>
      <c r="D73" s="89">
        <v>400</v>
      </c>
      <c r="E73" s="89">
        <v>400</v>
      </c>
      <c r="F73" s="89">
        <v>400</v>
      </c>
      <c r="G73" s="89">
        <v>400</v>
      </c>
      <c r="H73" s="89">
        <v>400</v>
      </c>
      <c r="I73" s="89">
        <v>400</v>
      </c>
      <c r="J73" s="89">
        <v>400</v>
      </c>
      <c r="K73" s="89">
        <v>400</v>
      </c>
      <c r="L73" s="89">
        <v>400</v>
      </c>
      <c r="M73" s="89">
        <v>400</v>
      </c>
      <c r="N73" s="89">
        <v>400</v>
      </c>
      <c r="O73" s="89">
        <v>400</v>
      </c>
      <c r="P73" s="89">
        <v>400</v>
      </c>
      <c r="Q73" s="89">
        <v>400</v>
      </c>
      <c r="R73" s="89">
        <v>400</v>
      </c>
      <c r="S73" s="89">
        <v>400</v>
      </c>
      <c r="T73" s="89">
        <v>400</v>
      </c>
      <c r="U73" s="89">
        <v>400</v>
      </c>
      <c r="V73" s="89">
        <v>400</v>
      </c>
      <c r="W73" s="89">
        <v>400</v>
      </c>
      <c r="X73" s="89">
        <v>400</v>
      </c>
      <c r="Y73" s="89">
        <v>400</v>
      </c>
      <c r="Z73" s="89">
        <v>400</v>
      </c>
      <c r="AA73" s="89">
        <v>400</v>
      </c>
      <c r="AB73" s="89">
        <v>400</v>
      </c>
      <c r="AC73" s="89">
        <v>400</v>
      </c>
      <c r="AD73" s="89">
        <v>400</v>
      </c>
      <c r="AE73" s="89">
        <v>400</v>
      </c>
      <c r="AF73" s="89">
        <v>400</v>
      </c>
      <c r="AG73" s="89">
        <v>400</v>
      </c>
      <c r="AH73" s="89">
        <v>400</v>
      </c>
      <c r="AI73" s="89">
        <v>400</v>
      </c>
      <c r="AJ73" s="89">
        <v>400</v>
      </c>
      <c r="AK73" s="89">
        <v>400</v>
      </c>
      <c r="AL73" s="89">
        <v>400</v>
      </c>
    </row>
    <row r="74" spans="1:38" x14ac:dyDescent="0.2">
      <c r="A74" s="41" t="s">
        <v>255</v>
      </c>
      <c r="B74" s="2" t="s">
        <v>40</v>
      </c>
      <c r="C74" s="89">
        <v>2600</v>
      </c>
      <c r="D74" s="89">
        <v>0</v>
      </c>
      <c r="E74" s="89">
        <v>0</v>
      </c>
      <c r="F74" s="89">
        <v>0</v>
      </c>
      <c r="G74" s="89">
        <v>0</v>
      </c>
      <c r="H74" s="89">
        <v>0</v>
      </c>
      <c r="I74" s="89">
        <v>2000</v>
      </c>
      <c r="J74" s="89">
        <v>0</v>
      </c>
      <c r="K74" s="89">
        <v>0</v>
      </c>
      <c r="L74" s="89">
        <v>0</v>
      </c>
      <c r="M74" s="89">
        <v>0</v>
      </c>
      <c r="N74" s="89">
        <v>0</v>
      </c>
      <c r="O74" s="89">
        <v>0</v>
      </c>
      <c r="P74" s="89">
        <v>0</v>
      </c>
      <c r="Q74" s="89">
        <v>0</v>
      </c>
      <c r="R74" s="89">
        <v>0</v>
      </c>
      <c r="S74" s="89">
        <v>0</v>
      </c>
      <c r="T74" s="89">
        <v>0</v>
      </c>
      <c r="U74" s="89">
        <v>0</v>
      </c>
      <c r="V74" s="89">
        <v>0</v>
      </c>
      <c r="W74" s="89">
        <v>0</v>
      </c>
      <c r="X74" s="89">
        <v>0</v>
      </c>
      <c r="Y74" s="89">
        <v>0</v>
      </c>
      <c r="Z74" s="89">
        <v>0</v>
      </c>
      <c r="AA74" s="89">
        <v>0</v>
      </c>
      <c r="AB74" s="89">
        <v>0</v>
      </c>
      <c r="AC74" s="89">
        <v>0</v>
      </c>
      <c r="AD74" s="89">
        <v>0</v>
      </c>
      <c r="AE74" s="89">
        <v>0</v>
      </c>
      <c r="AF74" s="89">
        <v>0</v>
      </c>
      <c r="AG74" s="89">
        <v>0</v>
      </c>
      <c r="AH74" s="89">
        <v>0</v>
      </c>
      <c r="AI74" s="89">
        <v>0</v>
      </c>
      <c r="AJ74" s="89">
        <v>0</v>
      </c>
      <c r="AK74" s="89">
        <v>0</v>
      </c>
      <c r="AL74" s="89">
        <v>0</v>
      </c>
    </row>
    <row r="75" spans="1:38" x14ac:dyDescent="0.2">
      <c r="A75" s="41" t="s">
        <v>256</v>
      </c>
      <c r="B75" s="2" t="s">
        <v>40</v>
      </c>
      <c r="C75" s="89">
        <v>0</v>
      </c>
      <c r="D75" s="89">
        <v>0</v>
      </c>
      <c r="E75" s="89">
        <v>0</v>
      </c>
      <c r="F75" s="89">
        <v>0</v>
      </c>
      <c r="G75" s="89">
        <v>0</v>
      </c>
      <c r="H75" s="89">
        <v>0</v>
      </c>
      <c r="I75" s="89">
        <v>0</v>
      </c>
      <c r="J75" s="89">
        <v>0</v>
      </c>
      <c r="K75" s="89">
        <v>0</v>
      </c>
      <c r="L75" s="89">
        <v>0</v>
      </c>
      <c r="M75" s="89">
        <v>0</v>
      </c>
      <c r="N75" s="89">
        <v>0</v>
      </c>
      <c r="O75" s="89">
        <v>0</v>
      </c>
      <c r="P75" s="89">
        <v>0</v>
      </c>
      <c r="Q75" s="89">
        <v>0</v>
      </c>
      <c r="R75" s="89">
        <v>0</v>
      </c>
      <c r="S75" s="89">
        <v>0</v>
      </c>
      <c r="T75" s="89">
        <v>0</v>
      </c>
      <c r="U75" s="89">
        <v>0</v>
      </c>
      <c r="V75" s="89">
        <v>0</v>
      </c>
      <c r="W75" s="89">
        <v>0</v>
      </c>
      <c r="X75" s="89">
        <v>0</v>
      </c>
      <c r="Y75" s="89">
        <v>0</v>
      </c>
      <c r="Z75" s="89">
        <v>0</v>
      </c>
      <c r="AA75" s="89">
        <v>0</v>
      </c>
      <c r="AB75" s="89">
        <v>0</v>
      </c>
      <c r="AC75" s="89">
        <v>0</v>
      </c>
      <c r="AD75" s="89">
        <v>0</v>
      </c>
      <c r="AE75" s="89">
        <v>0</v>
      </c>
      <c r="AF75" s="89">
        <v>0</v>
      </c>
      <c r="AG75" s="89">
        <v>0</v>
      </c>
      <c r="AH75" s="89">
        <v>0</v>
      </c>
      <c r="AI75" s="89">
        <v>0</v>
      </c>
      <c r="AJ75" s="89">
        <v>0</v>
      </c>
      <c r="AK75" s="89">
        <v>0</v>
      </c>
      <c r="AL75" s="89">
        <v>0</v>
      </c>
    </row>
    <row r="76" spans="1:38" x14ac:dyDescent="0.2">
      <c r="A76" s="40" t="s">
        <v>56</v>
      </c>
      <c r="B76" s="72">
        <v>0.1</v>
      </c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</row>
    <row r="77" spans="1:38" x14ac:dyDescent="0.2">
      <c r="A77" s="59" t="s">
        <v>368</v>
      </c>
      <c r="B77" s="79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</row>
    <row r="78" spans="1:38" x14ac:dyDescent="0.2">
      <c r="A78" s="40" t="s">
        <v>243</v>
      </c>
      <c r="B78" s="82" t="s">
        <v>57</v>
      </c>
      <c r="C78" s="89">
        <v>7000</v>
      </c>
      <c r="D78" s="89">
        <v>0</v>
      </c>
      <c r="E78" s="89">
        <v>0</v>
      </c>
      <c r="F78" s="89">
        <v>0</v>
      </c>
      <c r="G78" s="89">
        <v>0</v>
      </c>
      <c r="H78" s="89">
        <v>0</v>
      </c>
      <c r="I78" s="89">
        <v>0</v>
      </c>
      <c r="J78" s="89">
        <v>0</v>
      </c>
      <c r="K78" s="89">
        <v>0</v>
      </c>
      <c r="L78" s="89">
        <v>0</v>
      </c>
      <c r="M78" s="89">
        <v>0</v>
      </c>
      <c r="N78" s="89">
        <v>0</v>
      </c>
      <c r="O78" s="89">
        <v>0</v>
      </c>
      <c r="P78" s="89">
        <v>0</v>
      </c>
      <c r="Q78" s="89">
        <v>0</v>
      </c>
      <c r="R78" s="89">
        <v>0</v>
      </c>
      <c r="S78" s="89">
        <v>0</v>
      </c>
      <c r="T78" s="89">
        <v>0</v>
      </c>
      <c r="U78" s="89">
        <v>0</v>
      </c>
      <c r="V78" s="89">
        <v>0</v>
      </c>
      <c r="W78" s="89">
        <v>0</v>
      </c>
      <c r="X78" s="89">
        <v>0</v>
      </c>
      <c r="Y78" s="89">
        <v>0</v>
      </c>
      <c r="Z78" s="89">
        <v>0</v>
      </c>
      <c r="AA78" s="89">
        <v>0</v>
      </c>
      <c r="AB78" s="89">
        <v>0</v>
      </c>
      <c r="AC78" s="89">
        <v>0</v>
      </c>
      <c r="AD78" s="89">
        <v>0</v>
      </c>
      <c r="AE78" s="89">
        <v>0</v>
      </c>
      <c r="AF78" s="89">
        <v>0</v>
      </c>
      <c r="AG78" s="89">
        <v>0</v>
      </c>
      <c r="AH78" s="89">
        <v>0</v>
      </c>
      <c r="AI78" s="89">
        <v>0</v>
      </c>
      <c r="AJ78" s="89">
        <v>0</v>
      </c>
      <c r="AK78" s="89">
        <v>0</v>
      </c>
      <c r="AL78" s="89">
        <v>0</v>
      </c>
    </row>
    <row r="79" spans="1:38" x14ac:dyDescent="0.2">
      <c r="A79" s="40" t="s">
        <v>58</v>
      </c>
      <c r="B79" s="81" t="s">
        <v>57</v>
      </c>
      <c r="C79" s="89">
        <v>5000</v>
      </c>
      <c r="D79" s="89">
        <v>5000</v>
      </c>
      <c r="E79" s="89">
        <v>0</v>
      </c>
      <c r="F79" s="89">
        <v>0</v>
      </c>
      <c r="G79" s="89">
        <v>0</v>
      </c>
      <c r="H79" s="89">
        <v>0</v>
      </c>
      <c r="I79" s="89">
        <v>0</v>
      </c>
      <c r="J79" s="89">
        <v>0</v>
      </c>
      <c r="K79" s="89">
        <v>0</v>
      </c>
      <c r="L79" s="89">
        <v>0</v>
      </c>
      <c r="M79" s="89">
        <v>0</v>
      </c>
      <c r="N79" s="89">
        <v>0</v>
      </c>
      <c r="O79" s="89">
        <v>0</v>
      </c>
      <c r="P79" s="89">
        <v>0</v>
      </c>
      <c r="Q79" s="89">
        <v>0</v>
      </c>
      <c r="R79" s="89">
        <v>0</v>
      </c>
      <c r="S79" s="89">
        <v>0</v>
      </c>
      <c r="T79" s="89">
        <v>0</v>
      </c>
      <c r="U79" s="89">
        <v>0</v>
      </c>
      <c r="V79" s="89">
        <v>0</v>
      </c>
      <c r="W79" s="89">
        <v>0</v>
      </c>
      <c r="X79" s="89">
        <v>0</v>
      </c>
      <c r="Y79" s="89">
        <v>0</v>
      </c>
      <c r="Z79" s="89">
        <v>0</v>
      </c>
      <c r="AA79" s="89">
        <v>0</v>
      </c>
      <c r="AB79" s="89">
        <v>0</v>
      </c>
      <c r="AC79" s="89">
        <v>0</v>
      </c>
      <c r="AD79" s="89">
        <v>0</v>
      </c>
      <c r="AE79" s="89">
        <v>0</v>
      </c>
      <c r="AF79" s="89">
        <v>0</v>
      </c>
      <c r="AG79" s="89">
        <v>0</v>
      </c>
      <c r="AH79" s="89">
        <v>0</v>
      </c>
      <c r="AI79" s="89">
        <v>0</v>
      </c>
      <c r="AJ79" s="89">
        <v>0</v>
      </c>
      <c r="AK79" s="89">
        <v>0</v>
      </c>
      <c r="AL79" s="89">
        <v>0</v>
      </c>
    </row>
    <row r="80" spans="1:38" x14ac:dyDescent="0.2">
      <c r="A80" s="40" t="s">
        <v>59</v>
      </c>
      <c r="B80" s="2" t="s">
        <v>57</v>
      </c>
      <c r="C80" s="89">
        <v>3000</v>
      </c>
      <c r="D80" s="89">
        <v>0</v>
      </c>
      <c r="E80" s="89">
        <v>5000</v>
      </c>
      <c r="F80" s="89">
        <v>0</v>
      </c>
      <c r="G80" s="89">
        <v>0</v>
      </c>
      <c r="H80" s="89">
        <v>0</v>
      </c>
      <c r="I80" s="89">
        <v>0</v>
      </c>
      <c r="J80" s="89">
        <v>0</v>
      </c>
      <c r="K80" s="89">
        <v>0</v>
      </c>
      <c r="L80" s="89">
        <v>0</v>
      </c>
      <c r="M80" s="89">
        <v>0</v>
      </c>
      <c r="N80" s="89">
        <v>0</v>
      </c>
      <c r="O80" s="89">
        <v>0</v>
      </c>
      <c r="P80" s="89">
        <v>0</v>
      </c>
      <c r="Q80" s="89">
        <v>0</v>
      </c>
      <c r="R80" s="89">
        <v>0</v>
      </c>
      <c r="S80" s="89">
        <v>0</v>
      </c>
      <c r="T80" s="89">
        <v>0</v>
      </c>
      <c r="U80" s="89">
        <v>0</v>
      </c>
      <c r="V80" s="89">
        <v>0</v>
      </c>
      <c r="W80" s="89">
        <v>0</v>
      </c>
      <c r="X80" s="89">
        <v>0</v>
      </c>
      <c r="Y80" s="89">
        <v>0</v>
      </c>
      <c r="Z80" s="89">
        <v>0</v>
      </c>
      <c r="AA80" s="89">
        <v>0</v>
      </c>
      <c r="AB80" s="89">
        <v>0</v>
      </c>
      <c r="AC80" s="89">
        <v>0</v>
      </c>
      <c r="AD80" s="89">
        <v>0</v>
      </c>
      <c r="AE80" s="89">
        <v>0</v>
      </c>
      <c r="AF80" s="89">
        <v>0</v>
      </c>
      <c r="AG80" s="89">
        <v>0</v>
      </c>
      <c r="AH80" s="89">
        <v>0</v>
      </c>
      <c r="AI80" s="89">
        <v>0</v>
      </c>
      <c r="AJ80" s="89">
        <v>0</v>
      </c>
      <c r="AK80" s="89">
        <v>0</v>
      </c>
      <c r="AL80" s="89">
        <v>0</v>
      </c>
    </row>
    <row r="81" spans="1:38" x14ac:dyDescent="0.2">
      <c r="A81" s="41" t="s">
        <v>257</v>
      </c>
      <c r="B81" s="83" t="s">
        <v>57</v>
      </c>
      <c r="C81" s="89">
        <v>5000</v>
      </c>
      <c r="D81" s="89">
        <v>0</v>
      </c>
      <c r="E81" s="89">
        <v>0</v>
      </c>
      <c r="F81" s="89">
        <v>0</v>
      </c>
      <c r="G81" s="89">
        <v>0</v>
      </c>
      <c r="H81" s="89">
        <v>0</v>
      </c>
      <c r="I81" s="89">
        <v>0</v>
      </c>
      <c r="J81" s="89">
        <v>0</v>
      </c>
      <c r="K81" s="89">
        <v>0</v>
      </c>
      <c r="L81" s="89">
        <v>0</v>
      </c>
      <c r="M81" s="89">
        <v>0</v>
      </c>
      <c r="N81" s="89">
        <v>0</v>
      </c>
      <c r="O81" s="89">
        <v>0</v>
      </c>
      <c r="P81" s="89">
        <v>0</v>
      </c>
      <c r="Q81" s="89">
        <v>0</v>
      </c>
      <c r="R81" s="89">
        <v>0</v>
      </c>
      <c r="S81" s="89">
        <v>0</v>
      </c>
      <c r="T81" s="89">
        <v>0</v>
      </c>
      <c r="U81" s="89">
        <v>0</v>
      </c>
      <c r="V81" s="89">
        <v>0</v>
      </c>
      <c r="W81" s="89">
        <v>0</v>
      </c>
      <c r="X81" s="89">
        <v>0</v>
      </c>
      <c r="Y81" s="89">
        <v>0</v>
      </c>
      <c r="Z81" s="89">
        <v>0</v>
      </c>
      <c r="AA81" s="89">
        <v>0</v>
      </c>
      <c r="AB81" s="89">
        <v>0</v>
      </c>
      <c r="AC81" s="89">
        <v>0</v>
      </c>
      <c r="AD81" s="89">
        <v>0</v>
      </c>
      <c r="AE81" s="89">
        <v>0</v>
      </c>
      <c r="AF81" s="89">
        <v>0</v>
      </c>
      <c r="AG81" s="89">
        <v>0</v>
      </c>
      <c r="AH81" s="89">
        <v>0</v>
      </c>
      <c r="AI81" s="89">
        <v>0</v>
      </c>
      <c r="AJ81" s="89">
        <v>0</v>
      </c>
      <c r="AK81" s="89">
        <v>0</v>
      </c>
      <c r="AL81" s="89">
        <v>0</v>
      </c>
    </row>
    <row r="82" spans="1:38" x14ac:dyDescent="0.2">
      <c r="A82" s="40" t="s">
        <v>60</v>
      </c>
      <c r="B82" s="82" t="s">
        <v>57</v>
      </c>
      <c r="C82" s="89">
        <v>8000</v>
      </c>
      <c r="D82" s="89">
        <v>0</v>
      </c>
      <c r="E82" s="89">
        <v>0</v>
      </c>
      <c r="F82" s="89">
        <v>0</v>
      </c>
      <c r="G82" s="89">
        <v>0</v>
      </c>
      <c r="H82" s="89">
        <v>0</v>
      </c>
      <c r="I82" s="89">
        <v>0</v>
      </c>
      <c r="J82" s="89">
        <v>0</v>
      </c>
      <c r="K82" s="89">
        <v>0</v>
      </c>
      <c r="L82" s="89">
        <v>0</v>
      </c>
      <c r="M82" s="89">
        <v>0</v>
      </c>
      <c r="N82" s="89">
        <v>0</v>
      </c>
      <c r="O82" s="89">
        <v>0</v>
      </c>
      <c r="P82" s="89">
        <v>0</v>
      </c>
      <c r="Q82" s="89">
        <v>0</v>
      </c>
      <c r="R82" s="89">
        <v>0</v>
      </c>
      <c r="S82" s="89">
        <v>0</v>
      </c>
      <c r="T82" s="89">
        <v>0</v>
      </c>
      <c r="U82" s="89">
        <v>0</v>
      </c>
      <c r="V82" s="89">
        <v>0</v>
      </c>
      <c r="W82" s="89">
        <v>0</v>
      </c>
      <c r="X82" s="89">
        <v>0</v>
      </c>
      <c r="Y82" s="89">
        <v>0</v>
      </c>
      <c r="Z82" s="89">
        <v>0</v>
      </c>
      <c r="AA82" s="89">
        <v>0</v>
      </c>
      <c r="AB82" s="89">
        <v>0</v>
      </c>
      <c r="AC82" s="89">
        <v>0</v>
      </c>
      <c r="AD82" s="89">
        <v>0</v>
      </c>
      <c r="AE82" s="89">
        <v>0</v>
      </c>
      <c r="AF82" s="89">
        <v>0</v>
      </c>
      <c r="AG82" s="89">
        <v>0</v>
      </c>
      <c r="AH82" s="89">
        <v>0</v>
      </c>
      <c r="AI82" s="89">
        <v>0</v>
      </c>
      <c r="AJ82" s="89">
        <v>0</v>
      </c>
      <c r="AK82" s="89">
        <v>0</v>
      </c>
      <c r="AL82" s="89">
        <v>0</v>
      </c>
    </row>
    <row r="83" spans="1:38" x14ac:dyDescent="0.2">
      <c r="A83" s="59" t="s">
        <v>369</v>
      </c>
      <c r="B83" s="79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  <c r="AH83" s="61"/>
      <c r="AI83" s="61"/>
      <c r="AJ83" s="61"/>
      <c r="AK83" s="61"/>
      <c r="AL83" s="61"/>
    </row>
    <row r="84" spans="1:38" x14ac:dyDescent="0.2">
      <c r="A84" s="40" t="s">
        <v>61</v>
      </c>
      <c r="B84" s="80">
        <v>8.1000000000000003E-2</v>
      </c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</row>
    <row r="85" spans="1:38" x14ac:dyDescent="0.2">
      <c r="A85" s="40" t="s">
        <v>62</v>
      </c>
      <c r="B85" s="80">
        <v>0.14000000000000001</v>
      </c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</row>
    <row r="86" spans="1:38" x14ac:dyDescent="0.2">
      <c r="A86" s="40" t="s">
        <v>63</v>
      </c>
      <c r="B86" s="73">
        <v>0.3</v>
      </c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</row>
    <row r="87" spans="1:38" x14ac:dyDescent="0.2">
      <c r="A87" s="59" t="s">
        <v>370</v>
      </c>
      <c r="B87" s="67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  <c r="AJ87" s="61"/>
      <c r="AK87" s="61"/>
      <c r="AL87" s="61"/>
    </row>
    <row r="88" spans="1:38" x14ac:dyDescent="0.2">
      <c r="A88" s="40" t="s">
        <v>64</v>
      </c>
      <c r="B88" s="84">
        <v>0.5</v>
      </c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</row>
    <row r="89" spans="1:38" x14ac:dyDescent="0.2">
      <c r="A89" s="40" t="s">
        <v>65</v>
      </c>
      <c r="B89" s="77">
        <v>1</v>
      </c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</row>
    <row r="90" spans="1:38" x14ac:dyDescent="0.2">
      <c r="A90" s="40" t="s">
        <v>66</v>
      </c>
      <c r="B90" s="77">
        <v>2</v>
      </c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</row>
    <row r="91" spans="1:38" x14ac:dyDescent="0.2">
      <c r="A91" s="40" t="s">
        <v>67</v>
      </c>
      <c r="B91" s="77">
        <v>1.5</v>
      </c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</row>
    <row r="92" spans="1:38" x14ac:dyDescent="0.2">
      <c r="A92" s="40" t="s">
        <v>68</v>
      </c>
      <c r="B92" s="77">
        <v>1</v>
      </c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</row>
    <row r="93" spans="1:38" x14ac:dyDescent="0.2">
      <c r="A93" s="40" t="s">
        <v>69</v>
      </c>
      <c r="B93" s="76">
        <v>0.6</v>
      </c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</row>
  </sheetData>
  <conditionalFormatting sqref="C33:AL33">
    <cfRule type="cellIs" dxfId="39" priority="1" operator="equal">
      <formula>1</formula>
    </cfRule>
  </conditionalFormatting>
  <conditionalFormatting sqref="C33:AL33">
    <cfRule type="cellIs" dxfId="38" priority="2" operator="notEqual">
      <formula>1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BA8CD-A31C-874F-9621-6F8D153008C9}">
  <dimension ref="A1:AL56"/>
  <sheetViews>
    <sheetView showGridLines="0" topLeftCell="A22" zoomScale="117" workbookViewId="0">
      <selection activeCell="AK1" sqref="AK1:AK1048576"/>
    </sheetView>
  </sheetViews>
  <sheetFormatPr baseColWidth="10" defaultRowHeight="16" x14ac:dyDescent="0.2"/>
  <cols>
    <col min="1" max="1" width="19.33203125" style="42" bestFit="1" customWidth="1"/>
    <col min="2" max="2" width="10.83203125" customWidth="1"/>
    <col min="3" max="19" width="9.1640625" style="46" customWidth="1"/>
    <col min="20" max="20" width="10" style="46" bestFit="1" customWidth="1"/>
    <col min="21" max="21" width="9.1640625" style="46" customWidth="1"/>
    <col min="22" max="36" width="10" style="46" bestFit="1" customWidth="1"/>
    <col min="37" max="38" width="10.83203125" style="46" bestFit="1" customWidth="1"/>
  </cols>
  <sheetData>
    <row r="1" spans="1:38" ht="17" thickBot="1" x14ac:dyDescent="0.25">
      <c r="A1" s="64" t="s">
        <v>71</v>
      </c>
      <c r="B1" s="64" t="s">
        <v>72</v>
      </c>
      <c r="C1" s="176" t="s">
        <v>409</v>
      </c>
      <c r="D1" s="176" t="s">
        <v>410</v>
      </c>
      <c r="E1" s="176" t="s">
        <v>411</v>
      </c>
      <c r="F1" s="176" t="s">
        <v>412</v>
      </c>
      <c r="G1" s="176" t="s">
        <v>413</v>
      </c>
      <c r="H1" s="176" t="s">
        <v>414</v>
      </c>
      <c r="I1" s="176" t="s">
        <v>415</v>
      </c>
      <c r="J1" s="176" t="s">
        <v>416</v>
      </c>
      <c r="K1" s="176" t="s">
        <v>417</v>
      </c>
      <c r="L1" s="176" t="s">
        <v>418</v>
      </c>
      <c r="M1" s="176" t="s">
        <v>419</v>
      </c>
      <c r="N1" s="176" t="s">
        <v>420</v>
      </c>
      <c r="O1" s="176" t="s">
        <v>421</v>
      </c>
      <c r="P1" s="176" t="s">
        <v>422</v>
      </c>
      <c r="Q1" s="176" t="s">
        <v>423</v>
      </c>
      <c r="R1" s="176" t="s">
        <v>424</v>
      </c>
      <c r="S1" s="176" t="s">
        <v>425</v>
      </c>
      <c r="T1" s="176" t="s">
        <v>426</v>
      </c>
      <c r="U1" s="176" t="s">
        <v>427</v>
      </c>
      <c r="V1" s="176" t="s">
        <v>428</v>
      </c>
      <c r="W1" s="176" t="s">
        <v>429</v>
      </c>
      <c r="X1" s="176" t="s">
        <v>430</v>
      </c>
      <c r="Y1" s="176" t="s">
        <v>431</v>
      </c>
      <c r="Z1" s="176" t="s">
        <v>432</v>
      </c>
      <c r="AA1" s="176" t="s">
        <v>433</v>
      </c>
      <c r="AB1" s="176" t="s">
        <v>434</v>
      </c>
      <c r="AC1" s="176" t="s">
        <v>435</v>
      </c>
      <c r="AD1" s="176" t="s">
        <v>436</v>
      </c>
      <c r="AE1" s="176" t="s">
        <v>437</v>
      </c>
      <c r="AF1" s="176" t="s">
        <v>438</v>
      </c>
      <c r="AG1" s="176" t="s">
        <v>439</v>
      </c>
      <c r="AH1" s="176" t="s">
        <v>440</v>
      </c>
      <c r="AI1" s="176" t="s">
        <v>441</v>
      </c>
      <c r="AJ1" s="176" t="s">
        <v>442</v>
      </c>
      <c r="AK1" s="176" t="s">
        <v>443</v>
      </c>
      <c r="AL1" s="176" t="s">
        <v>444</v>
      </c>
    </row>
    <row r="2" spans="1:38" x14ac:dyDescent="0.2">
      <c r="A2" s="90" t="s">
        <v>361</v>
      </c>
      <c r="B2" s="91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</row>
    <row r="3" spans="1:38" x14ac:dyDescent="0.2">
      <c r="A3" s="40" t="s">
        <v>11</v>
      </c>
      <c r="B3" s="2"/>
      <c r="C3" s="48">
        <f>Assumptions!C16</f>
        <v>3</v>
      </c>
      <c r="D3" s="48">
        <f>Assumptions!D16</f>
        <v>7</v>
      </c>
      <c r="E3" s="48">
        <f>Assumptions!E16</f>
        <v>12</v>
      </c>
      <c r="F3" s="48">
        <f>Assumptions!F16</f>
        <v>20</v>
      </c>
      <c r="G3" s="48">
        <f>Assumptions!G16</f>
        <v>0</v>
      </c>
      <c r="H3" s="48">
        <f>Assumptions!H16</f>
        <v>0</v>
      </c>
      <c r="I3" s="48">
        <f>Assumptions!I16</f>
        <v>0</v>
      </c>
      <c r="J3" s="48">
        <f>Assumptions!J16</f>
        <v>0</v>
      </c>
      <c r="K3" s="48">
        <f>Assumptions!K16</f>
        <v>0</v>
      </c>
      <c r="L3" s="48">
        <f>Assumptions!L16</f>
        <v>0</v>
      </c>
      <c r="M3" s="48">
        <f>Assumptions!M16</f>
        <v>0</v>
      </c>
      <c r="N3" s="48">
        <f>Assumptions!N16</f>
        <v>0</v>
      </c>
      <c r="O3" s="48">
        <f>Assumptions!O16</f>
        <v>0</v>
      </c>
      <c r="P3" s="48">
        <f>Assumptions!P16</f>
        <v>0</v>
      </c>
      <c r="Q3" s="48">
        <f>Assumptions!Q16</f>
        <v>0</v>
      </c>
      <c r="R3" s="48">
        <f>Assumptions!R16</f>
        <v>0</v>
      </c>
      <c r="S3" s="48">
        <f>Assumptions!S16</f>
        <v>0</v>
      </c>
      <c r="T3" s="48">
        <f>Assumptions!T16</f>
        <v>0</v>
      </c>
      <c r="U3" s="48">
        <f>Assumptions!U16</f>
        <v>0</v>
      </c>
      <c r="V3" s="48">
        <f>Assumptions!V16</f>
        <v>0</v>
      </c>
      <c r="W3" s="48">
        <f>Assumptions!W16</f>
        <v>0</v>
      </c>
      <c r="X3" s="48">
        <f>Assumptions!X16</f>
        <v>0</v>
      </c>
      <c r="Y3" s="48">
        <f>Assumptions!Y16</f>
        <v>0</v>
      </c>
      <c r="Z3" s="48">
        <f>Assumptions!Z16</f>
        <v>0</v>
      </c>
      <c r="AA3" s="48">
        <f>Assumptions!AA16</f>
        <v>0</v>
      </c>
      <c r="AB3" s="48">
        <f>Assumptions!AB16</f>
        <v>0</v>
      </c>
      <c r="AC3" s="48">
        <f>Assumptions!AC16</f>
        <v>0</v>
      </c>
      <c r="AD3" s="48">
        <f>Assumptions!AD16</f>
        <v>0</v>
      </c>
      <c r="AE3" s="48">
        <f>Assumptions!AE16</f>
        <v>0</v>
      </c>
      <c r="AF3" s="48">
        <f>Assumptions!AF16</f>
        <v>0</v>
      </c>
      <c r="AG3" s="48">
        <f>Assumptions!AG16</f>
        <v>0</v>
      </c>
      <c r="AH3" s="48">
        <f>Assumptions!AH16</f>
        <v>0</v>
      </c>
      <c r="AI3" s="48">
        <f>Assumptions!AI16</f>
        <v>0</v>
      </c>
      <c r="AJ3" s="48">
        <f>Assumptions!AJ16</f>
        <v>0</v>
      </c>
      <c r="AK3" s="48">
        <f>Assumptions!AK16</f>
        <v>0</v>
      </c>
      <c r="AL3" s="48">
        <f>Assumptions!AL16</f>
        <v>0</v>
      </c>
    </row>
    <row r="4" spans="1:38" x14ac:dyDescent="0.2">
      <c r="A4" s="40" t="s">
        <v>73</v>
      </c>
      <c r="B4" s="2"/>
      <c r="C4" s="48">
        <f>Assumptions!C17</f>
        <v>0</v>
      </c>
      <c r="D4" s="48">
        <f>Assumptions!D17</f>
        <v>0</v>
      </c>
      <c r="E4" s="48">
        <f>Assumptions!E17</f>
        <v>0</v>
      </c>
      <c r="F4" s="48">
        <f>Assumptions!F17</f>
        <v>0</v>
      </c>
      <c r="G4" s="48">
        <f>Assumptions!G17</f>
        <v>0</v>
      </c>
      <c r="H4" s="48">
        <f>Assumptions!H17</f>
        <v>0</v>
      </c>
      <c r="I4" s="48">
        <f>Assumptions!I17</f>
        <v>0</v>
      </c>
      <c r="J4" s="48">
        <f>Assumptions!J17</f>
        <v>0</v>
      </c>
      <c r="K4" s="48">
        <f>Assumptions!K17</f>
        <v>0</v>
      </c>
      <c r="L4" s="48">
        <f>Assumptions!L17</f>
        <v>0</v>
      </c>
      <c r="M4" s="48">
        <f>Assumptions!M17</f>
        <v>0</v>
      </c>
      <c r="N4" s="48">
        <f>Assumptions!N17</f>
        <v>0</v>
      </c>
      <c r="O4" s="48">
        <f>Assumptions!O17</f>
        <v>0</v>
      </c>
      <c r="P4" s="48">
        <f>Assumptions!P17</f>
        <v>0</v>
      </c>
      <c r="Q4" s="48">
        <f>Assumptions!Q17</f>
        <v>0</v>
      </c>
      <c r="R4" s="48">
        <f>Assumptions!R17</f>
        <v>0</v>
      </c>
      <c r="S4" s="48">
        <f>Assumptions!S17</f>
        <v>0</v>
      </c>
      <c r="T4" s="48">
        <f>Assumptions!T17</f>
        <v>0</v>
      </c>
      <c r="U4" s="48">
        <f>Assumptions!U17</f>
        <v>0</v>
      </c>
      <c r="V4" s="48">
        <f>Assumptions!V17</f>
        <v>0</v>
      </c>
      <c r="W4" s="48">
        <f>Assumptions!W17</f>
        <v>0</v>
      </c>
      <c r="X4" s="48">
        <f>Assumptions!X17</f>
        <v>0</v>
      </c>
      <c r="Y4" s="48">
        <f>Assumptions!Y17</f>
        <v>0</v>
      </c>
      <c r="Z4" s="48">
        <f>Assumptions!Z17</f>
        <v>0</v>
      </c>
      <c r="AA4" s="48">
        <f>Assumptions!AA17</f>
        <v>0</v>
      </c>
      <c r="AB4" s="48">
        <f>Assumptions!AB17</f>
        <v>0</v>
      </c>
      <c r="AC4" s="48">
        <f>Assumptions!AC17</f>
        <v>0</v>
      </c>
      <c r="AD4" s="48">
        <f>Assumptions!AD17</f>
        <v>0</v>
      </c>
      <c r="AE4" s="48">
        <f>Assumptions!AE17</f>
        <v>0</v>
      </c>
      <c r="AF4" s="48">
        <f>Assumptions!AF17</f>
        <v>0</v>
      </c>
      <c r="AG4" s="48">
        <f>Assumptions!AG17</f>
        <v>0</v>
      </c>
      <c r="AH4" s="48">
        <f>Assumptions!AH17</f>
        <v>0</v>
      </c>
      <c r="AI4" s="48">
        <f>Assumptions!AI17</f>
        <v>0</v>
      </c>
      <c r="AJ4" s="48">
        <f>Assumptions!AJ17</f>
        <v>0</v>
      </c>
      <c r="AK4" s="48">
        <f>Assumptions!AK17</f>
        <v>0</v>
      </c>
      <c r="AL4" s="48">
        <f>Assumptions!AL17</f>
        <v>0</v>
      </c>
    </row>
    <row r="5" spans="1:38" x14ac:dyDescent="0.2">
      <c r="A5" s="40" t="s">
        <v>408</v>
      </c>
      <c r="B5" s="2"/>
      <c r="C5" s="48">
        <f>Assumptions!C20*Assumptions!$B$21</f>
        <v>5</v>
      </c>
      <c r="D5" s="48">
        <f>Assumptions!D20*Assumptions!$B$21</f>
        <v>5</v>
      </c>
      <c r="E5" s="48">
        <f>Assumptions!E20*Assumptions!$B$21</f>
        <v>5</v>
      </c>
      <c r="F5" s="48">
        <f>Assumptions!F20*Assumptions!$B$21</f>
        <v>15</v>
      </c>
      <c r="G5" s="48">
        <f>Assumptions!G20*Assumptions!$B$21</f>
        <v>15</v>
      </c>
      <c r="H5" s="48">
        <f>Assumptions!H20*Assumptions!$B$21</f>
        <v>15</v>
      </c>
      <c r="I5" s="48">
        <f>Assumptions!I20*Assumptions!$B$21</f>
        <v>25</v>
      </c>
      <c r="J5" s="48">
        <f>Assumptions!J20*Assumptions!$B$21</f>
        <v>25</v>
      </c>
      <c r="K5" s="48">
        <f>Assumptions!K20*Assumptions!$B$21</f>
        <v>25</v>
      </c>
      <c r="L5" s="48">
        <f>Assumptions!L20*Assumptions!$B$21</f>
        <v>25</v>
      </c>
      <c r="M5" s="48">
        <f>Assumptions!M20*Assumptions!$B$21</f>
        <v>25</v>
      </c>
      <c r="N5" s="48">
        <f>Assumptions!N20*Assumptions!$B$21</f>
        <v>25</v>
      </c>
      <c r="O5" s="48">
        <f>Assumptions!O20*Assumptions!$B$21</f>
        <v>35</v>
      </c>
      <c r="P5" s="48">
        <f>Assumptions!P20*Assumptions!$B$21</f>
        <v>35</v>
      </c>
      <c r="Q5" s="48">
        <f>Assumptions!Q20*Assumptions!$B$21</f>
        <v>35</v>
      </c>
      <c r="R5" s="48">
        <f>Assumptions!R20*Assumptions!$B$21</f>
        <v>35</v>
      </c>
      <c r="S5" s="48">
        <f>Assumptions!S20*Assumptions!$B$21</f>
        <v>35</v>
      </c>
      <c r="T5" s="48">
        <f>Assumptions!T20*Assumptions!$B$21</f>
        <v>35</v>
      </c>
      <c r="U5" s="48">
        <f>Assumptions!U20*Assumptions!$B$21</f>
        <v>35</v>
      </c>
      <c r="V5" s="48">
        <f>Assumptions!V20*Assumptions!$B$21</f>
        <v>35</v>
      </c>
      <c r="W5" s="48">
        <f>Assumptions!W20*Assumptions!$B$21</f>
        <v>35</v>
      </c>
      <c r="X5" s="48">
        <f>Assumptions!X20*Assumptions!$B$21</f>
        <v>35</v>
      </c>
      <c r="Y5" s="48">
        <f>Assumptions!Y20*Assumptions!$B$21</f>
        <v>35</v>
      </c>
      <c r="Z5" s="48">
        <f>Assumptions!Z20*Assumptions!$B$21</f>
        <v>35</v>
      </c>
      <c r="AA5" s="48">
        <f>Assumptions!AA20*Assumptions!$B$21</f>
        <v>50</v>
      </c>
      <c r="AB5" s="48">
        <f>Assumptions!AB20*Assumptions!$B$21</f>
        <v>50</v>
      </c>
      <c r="AC5" s="48">
        <f>Assumptions!AC20*Assumptions!$B$21</f>
        <v>50</v>
      </c>
      <c r="AD5" s="48">
        <f>Assumptions!AD20*Assumptions!$B$21</f>
        <v>50</v>
      </c>
      <c r="AE5" s="48">
        <f>Assumptions!AE20*Assumptions!$B$21</f>
        <v>50</v>
      </c>
      <c r="AF5" s="48">
        <f>Assumptions!AF20*Assumptions!$B$21</f>
        <v>50</v>
      </c>
      <c r="AG5" s="48">
        <f>Assumptions!AG20*Assumptions!$B$21</f>
        <v>50</v>
      </c>
      <c r="AH5" s="48">
        <f>Assumptions!AH20*Assumptions!$B$21</f>
        <v>50</v>
      </c>
      <c r="AI5" s="48">
        <f>Assumptions!AI20*Assumptions!$B$21</f>
        <v>50</v>
      </c>
      <c r="AJ5" s="48">
        <f>Assumptions!AJ20*Assumptions!$B$21</f>
        <v>50</v>
      </c>
      <c r="AK5" s="48">
        <f>Assumptions!AK20*Assumptions!$B$21</f>
        <v>50</v>
      </c>
      <c r="AL5" s="48">
        <f>Assumptions!AL20*Assumptions!$B$21</f>
        <v>50</v>
      </c>
    </row>
    <row r="6" spans="1:38" x14ac:dyDescent="0.2">
      <c r="A6" s="40" t="s">
        <v>74</v>
      </c>
      <c r="B6" s="2"/>
      <c r="C6" s="48">
        <v>0</v>
      </c>
      <c r="D6" s="48">
        <v>0</v>
      </c>
      <c r="E6" s="48">
        <v>0</v>
      </c>
      <c r="F6" s="48">
        <f>E30*Assumptions!$B$18*Assumptions!$B$19*CHOOSE(Assumptions!$B$2,Assumptions!$B$88,Assumptions!$B$89,Assumptions!$B$90)</f>
        <v>0.50024024999999939</v>
      </c>
      <c r="G6" s="48">
        <f>F30*Assumptions!$B$18*Assumptions!$B$19*CHOOSE(Assumptions!$B$2,Assumptions!$B$88,Assumptions!$B$89,Assumptions!$B$90)</f>
        <v>5.5627943062499989</v>
      </c>
      <c r="H6" s="48">
        <f>G30*Assumptions!$B$18*Assumptions!$B$19*CHOOSE(Assumptions!$B$2,Assumptions!$B$88,Assumptions!$B$89,Assumptions!$B$90)</f>
        <v>7.3544230251562484</v>
      </c>
      <c r="I6" s="48">
        <f>H30*Assumptions!$B$18*Assumptions!$B$19*CHOOSE(Assumptions!$B$2,Assumptions!$B$88,Assumptions!$B$89,Assumptions!$B$90)</f>
        <v>8.9773834949767952</v>
      </c>
      <c r="J6" s="48">
        <f>I30*Assumptions!$B$18*Assumptions!$B$19*CHOOSE(Assumptions!$B$2,Assumptions!$B$88,Assumptions!$B$89,Assumptions!$B$90)</f>
        <v>11.339905426982201</v>
      </c>
      <c r="K6" s="48">
        <f>J30*Assumptions!$B$18*Assumptions!$B$19*CHOOSE(Assumptions!$B$2,Assumptions!$B$88,Assumptions!$B$89,Assumptions!$B$90)</f>
        <v>14.063736275946095</v>
      </c>
      <c r="L6" s="48">
        <f>K30*Assumptions!$B$18*Assumptions!$B$19*CHOOSE(Assumptions!$B$2,Assumptions!$B$88,Assumptions!$B$89,Assumptions!$B$90)</f>
        <v>17.768076938033968</v>
      </c>
      <c r="M6" s="48">
        <f>L30*Assumptions!$B$18*Assumptions!$B$19*CHOOSE(Assumptions!$B$2,Assumptions!$B$88,Assumptions!$B$89,Assumptions!$B$90)</f>
        <v>22.035894249091609</v>
      </c>
      <c r="N6" s="48">
        <f>M30*Assumptions!$B$18*Assumptions!$B$19*CHOOSE(Assumptions!$B$2,Assumptions!$B$88,Assumptions!$B$89,Assumptions!$B$90)</f>
        <v>26.813970455137223</v>
      </c>
      <c r="O6" s="48">
        <f>N30*Assumptions!$B$18*Assumptions!$B$19*CHOOSE(Assumptions!$B$2,Assumptions!$B$88,Assumptions!$B$89,Assumptions!$B$90)</f>
        <v>31.840788073446859</v>
      </c>
      <c r="P6" s="48">
        <f>O30*Assumptions!$B$18*Assumptions!$B$19*CHOOSE(Assumptions!$B$2,Assumptions!$B$88,Assumptions!$B$89,Assumptions!$B$90)</f>
        <v>43.864965389972404</v>
      </c>
      <c r="Q6" s="48">
        <f>P30*Assumptions!$B$18*Assumptions!$B$19*CHOOSE(Assumptions!$B$2,Assumptions!$B$88,Assumptions!$B$89,Assumptions!$B$90)</f>
        <v>53.374582602716188</v>
      </c>
      <c r="R6" s="48">
        <f>Q30*Assumptions!$B$18*Assumptions!$B$19*CHOOSE(Assumptions!$B$2,Assumptions!$B$88,Assumptions!$B$89,Assumptions!$B$90)</f>
        <v>64.123863688327333</v>
      </c>
      <c r="S6" s="48">
        <f>R30*Assumptions!$B$18*Assumptions!$B$19*CHOOSE(Assumptions!$B$2,Assumptions!$B$88,Assumptions!$B$89,Assumptions!$B$90)</f>
        <v>77.831733018200978</v>
      </c>
      <c r="T6" s="48">
        <f>S30*Assumptions!$B$18*Assumptions!$B$19*CHOOSE(Assumptions!$B$2,Assumptions!$B$88,Assumptions!$B$89,Assumptions!$B$90)</f>
        <v>93.723872947296186</v>
      </c>
      <c r="U6" s="48">
        <f>T30*Assumptions!$B$18*Assumptions!$B$19*CHOOSE(Assumptions!$B$2,Assumptions!$B$88,Assumptions!$B$89,Assumptions!$B$90)</f>
        <v>110.64397207564933</v>
      </c>
      <c r="V6" s="48">
        <f>U30*Assumptions!$B$18*Assumptions!$B$19*CHOOSE(Assumptions!$B$2,Assumptions!$B$88,Assumptions!$B$89,Assumptions!$B$90)</f>
        <v>128.36647854662792</v>
      </c>
      <c r="W6" s="48">
        <f>V30*Assumptions!$B$18*Assumptions!$B$19*CHOOSE(Assumptions!$B$2,Assumptions!$B$88,Assumptions!$B$89,Assumptions!$B$90)</f>
        <v>138.76595315042269</v>
      </c>
      <c r="X6" s="48">
        <f>W30*Assumptions!$B$18*Assumptions!$B$19*CHOOSE(Assumptions!$B$2,Assumptions!$B$88,Assumptions!$B$89,Assumptions!$B$90)</f>
        <v>149.93935682572976</v>
      </c>
      <c r="Y6" s="48">
        <f>X30*Assumptions!$B$18*Assumptions!$B$19*CHOOSE(Assumptions!$B$2,Assumptions!$B$88,Assumptions!$B$89,Assumptions!$B$90)</f>
        <v>162.08116999720326</v>
      </c>
      <c r="Z6" s="48">
        <f>Y30*Assumptions!$B$18*Assumptions!$B$19*CHOOSE(Assumptions!$B$2,Assumptions!$B$88,Assumptions!$B$89,Assumptions!$B$90)</f>
        <v>175.23212794682576</v>
      </c>
      <c r="AA6" s="48">
        <f>Z30*Assumptions!$B$18*Assumptions!$B$19*CHOOSE(Assumptions!$B$2,Assumptions!$B$88,Assumptions!$B$89,Assumptions!$B$90)</f>
        <v>189.34846521964721</v>
      </c>
      <c r="AB6" s="48">
        <f>AA30*Assumptions!$B$18*Assumptions!$B$19*CHOOSE(Assumptions!$B$2,Assumptions!$B$88,Assumptions!$B$89,Assumptions!$B$90)</f>
        <v>204.65050802429954</v>
      </c>
      <c r="AC6" s="48">
        <f>AB30*Assumptions!$B$18*Assumptions!$B$19*CHOOSE(Assumptions!$B$2,Assumptions!$B$88,Assumptions!$B$89,Assumptions!$B$90)</f>
        <v>217.33832660758</v>
      </c>
      <c r="AD6" s="48">
        <f>AC30*Assumptions!$B$18*Assumptions!$B$19*CHOOSE(Assumptions!$B$2,Assumptions!$B$88,Assumptions!$B$89,Assumptions!$B$90)</f>
        <v>230.7490006996033</v>
      </c>
      <c r="AE6" s="48">
        <f>AD30*Assumptions!$B$18*Assumptions!$B$19*CHOOSE(Assumptions!$B$2,Assumptions!$B$88,Assumptions!$B$89,Assumptions!$B$90)</f>
        <v>249.39011579404971</v>
      </c>
      <c r="AF6" s="48">
        <f>AE30*Assumptions!$B$18*Assumptions!$B$19*CHOOSE(Assumptions!$B$2,Assumptions!$B$88,Assumptions!$B$89,Assumptions!$B$90)</f>
        <v>269.4677814262464</v>
      </c>
      <c r="AG6" s="48">
        <f>AF30*Assumptions!$B$18*Assumptions!$B$19*CHOOSE(Assumptions!$B$2,Assumptions!$B$88,Assumptions!$B$89,Assumptions!$B$90)</f>
        <v>291.2659319187897</v>
      </c>
      <c r="AH6" s="48">
        <f>AG30*Assumptions!$B$18*Assumptions!$B$19*CHOOSE(Assumptions!$B$2,Assumptions!$B$88,Assumptions!$B$89,Assumptions!$B$90)</f>
        <v>314.74683272782636</v>
      </c>
      <c r="AI6" s="48">
        <f>AH30*Assumptions!$B$18*Assumptions!$B$19*CHOOSE(Assumptions!$B$2,Assumptions!$B$88,Assumptions!$B$89,Assumptions!$B$90)</f>
        <v>340.13765514608286</v>
      </c>
      <c r="AJ6" s="48">
        <f>AI30*Assumptions!$B$18*Assumptions!$B$19*CHOOSE(Assumptions!$B$2,Assumptions!$B$88,Assumptions!$B$89,Assumptions!$B$90)</f>
        <v>367.60623859080408</v>
      </c>
      <c r="AK6" s="48">
        <f>AJ30*Assumptions!$B$18*Assumptions!$B$19*CHOOSE(Assumptions!$B$2,Assumptions!$B$88,Assumptions!$B$89,Assumptions!$B$90)</f>
        <v>397.34308080056269</v>
      </c>
      <c r="AL6" s="48">
        <f>AK30*Assumptions!$B$18*Assumptions!$B$19*CHOOSE(Assumptions!$B$2,Assumptions!$B$88,Assumptions!$B$89,Assumptions!$B$90)</f>
        <v>429.38439670863863</v>
      </c>
    </row>
    <row r="7" spans="1:38" x14ac:dyDescent="0.2">
      <c r="A7" s="40" t="s">
        <v>75</v>
      </c>
      <c r="B7" s="2"/>
      <c r="C7" s="48">
        <f>C3+C4+C5+C6</f>
        <v>8</v>
      </c>
      <c r="D7" s="48">
        <f t="shared" ref="D7:AL7" si="0">D3+D4+D5+D6</f>
        <v>12</v>
      </c>
      <c r="E7" s="48">
        <f t="shared" si="0"/>
        <v>17</v>
      </c>
      <c r="F7" s="48">
        <f t="shared" si="0"/>
        <v>35.500240249999997</v>
      </c>
      <c r="G7" s="48">
        <f t="shared" si="0"/>
        <v>20.562794306249998</v>
      </c>
      <c r="H7" s="48">
        <f t="shared" si="0"/>
        <v>22.354423025156247</v>
      </c>
      <c r="I7" s="48">
        <f t="shared" si="0"/>
        <v>33.977383494976792</v>
      </c>
      <c r="J7" s="48">
        <f t="shared" si="0"/>
        <v>36.339905426982199</v>
      </c>
      <c r="K7" s="48">
        <f t="shared" si="0"/>
        <v>39.063736275946098</v>
      </c>
      <c r="L7" s="48">
        <f t="shared" si="0"/>
        <v>42.768076938033971</v>
      </c>
      <c r="M7" s="48">
        <f t="shared" si="0"/>
        <v>47.035894249091612</v>
      </c>
      <c r="N7" s="48">
        <f t="shared" si="0"/>
        <v>51.813970455137223</v>
      </c>
      <c r="O7" s="48">
        <f t="shared" si="0"/>
        <v>66.840788073446859</v>
      </c>
      <c r="P7" s="48">
        <f t="shared" si="0"/>
        <v>78.864965389972411</v>
      </c>
      <c r="Q7" s="48">
        <f t="shared" si="0"/>
        <v>88.374582602716188</v>
      </c>
      <c r="R7" s="48">
        <f t="shared" si="0"/>
        <v>99.123863688327333</v>
      </c>
      <c r="S7" s="48">
        <f t="shared" si="0"/>
        <v>112.83173301820098</v>
      </c>
      <c r="T7" s="48">
        <f t="shared" si="0"/>
        <v>128.72387294729617</v>
      </c>
      <c r="U7" s="48">
        <f t="shared" si="0"/>
        <v>145.64397207564934</v>
      </c>
      <c r="V7" s="48">
        <f t="shared" si="0"/>
        <v>163.36647854662792</v>
      </c>
      <c r="W7" s="48">
        <f t="shared" si="0"/>
        <v>173.76595315042269</v>
      </c>
      <c r="X7" s="48">
        <f t="shared" si="0"/>
        <v>184.93935682572976</v>
      </c>
      <c r="Y7" s="48">
        <f t="shared" si="0"/>
        <v>197.08116999720326</v>
      </c>
      <c r="Z7" s="48">
        <f t="shared" si="0"/>
        <v>210.23212794682576</v>
      </c>
      <c r="AA7" s="48">
        <f t="shared" si="0"/>
        <v>239.34846521964721</v>
      </c>
      <c r="AB7" s="48">
        <f t="shared" si="0"/>
        <v>254.65050802429954</v>
      </c>
      <c r="AC7" s="48">
        <f t="shared" si="0"/>
        <v>267.33832660758003</v>
      </c>
      <c r="AD7" s="48">
        <f t="shared" si="0"/>
        <v>280.7490006996033</v>
      </c>
      <c r="AE7" s="48">
        <f t="shared" si="0"/>
        <v>299.39011579404973</v>
      </c>
      <c r="AF7" s="48">
        <f t="shared" si="0"/>
        <v>319.4677814262464</v>
      </c>
      <c r="AG7" s="48">
        <f t="shared" si="0"/>
        <v>341.2659319187897</v>
      </c>
      <c r="AH7" s="48">
        <f t="shared" si="0"/>
        <v>364.74683272782636</v>
      </c>
      <c r="AI7" s="48">
        <f t="shared" si="0"/>
        <v>390.13765514608286</v>
      </c>
      <c r="AJ7" s="48">
        <f t="shared" si="0"/>
        <v>417.60623859080408</v>
      </c>
      <c r="AK7" s="48">
        <f t="shared" si="0"/>
        <v>447.34308080056269</v>
      </c>
      <c r="AL7" s="48">
        <f t="shared" si="0"/>
        <v>479.38439670863863</v>
      </c>
    </row>
    <row r="8" spans="1:38" x14ac:dyDescent="0.2">
      <c r="A8" s="40" t="s">
        <v>16</v>
      </c>
      <c r="B8" s="2"/>
      <c r="C8" s="49">
        <f>Assumptions!C22</f>
        <v>1</v>
      </c>
      <c r="D8" s="49">
        <f>Assumptions!D22</f>
        <v>1</v>
      </c>
      <c r="E8" s="49">
        <f>Assumptions!E22</f>
        <v>1</v>
      </c>
      <c r="F8" s="49">
        <f>Assumptions!F22</f>
        <v>1</v>
      </c>
      <c r="G8" s="49">
        <f>Assumptions!G22</f>
        <v>1</v>
      </c>
      <c r="H8" s="49">
        <f>Assumptions!H22</f>
        <v>0.85</v>
      </c>
      <c r="I8" s="49">
        <f>Assumptions!I22</f>
        <v>0.7</v>
      </c>
      <c r="J8" s="49">
        <f>Assumptions!J22</f>
        <v>0.75</v>
      </c>
      <c r="K8" s="49">
        <f>Assumptions!K22</f>
        <v>1</v>
      </c>
      <c r="L8" s="49">
        <f>Assumptions!L22</f>
        <v>1</v>
      </c>
      <c r="M8" s="49">
        <f>Assumptions!M22</f>
        <v>1</v>
      </c>
      <c r="N8" s="49">
        <f>Assumptions!N22</f>
        <v>0.9</v>
      </c>
      <c r="O8" s="49">
        <f>Assumptions!O22</f>
        <v>1</v>
      </c>
      <c r="P8" s="49">
        <f>Assumptions!P22</f>
        <v>1</v>
      </c>
      <c r="Q8" s="49">
        <f>Assumptions!Q22</f>
        <v>1</v>
      </c>
      <c r="R8" s="49">
        <f>Assumptions!R22</f>
        <v>1</v>
      </c>
      <c r="S8" s="49">
        <f>Assumptions!S22</f>
        <v>1</v>
      </c>
      <c r="T8" s="49">
        <f>Assumptions!T22</f>
        <v>0.85</v>
      </c>
      <c r="U8" s="49">
        <f>Assumptions!U22</f>
        <v>0.7</v>
      </c>
      <c r="V8" s="49">
        <f>Assumptions!V22</f>
        <v>0.75</v>
      </c>
      <c r="W8" s="49">
        <f>Assumptions!W22</f>
        <v>1</v>
      </c>
      <c r="X8" s="49">
        <f>Assumptions!X22</f>
        <v>1</v>
      </c>
      <c r="Y8" s="49">
        <f>Assumptions!Y22</f>
        <v>1</v>
      </c>
      <c r="Z8" s="49">
        <f>Assumptions!Z22</f>
        <v>0.9</v>
      </c>
      <c r="AA8" s="49">
        <f>Assumptions!AA22</f>
        <v>1</v>
      </c>
      <c r="AB8" s="49">
        <f>Assumptions!AB22</f>
        <v>1</v>
      </c>
      <c r="AC8" s="49">
        <f>Assumptions!AC22</f>
        <v>1</v>
      </c>
      <c r="AD8" s="49">
        <f>Assumptions!AD22</f>
        <v>1</v>
      </c>
      <c r="AE8" s="49">
        <f>Assumptions!AE22</f>
        <v>1</v>
      </c>
      <c r="AF8" s="49">
        <f>Assumptions!AF22</f>
        <v>0.85</v>
      </c>
      <c r="AG8" s="49">
        <f>Assumptions!AG22</f>
        <v>0.7</v>
      </c>
      <c r="AH8" s="49">
        <f>Assumptions!AH22</f>
        <v>0.75</v>
      </c>
      <c r="AI8" s="49">
        <f>Assumptions!AI22</f>
        <v>1</v>
      </c>
      <c r="AJ8" s="49">
        <f>Assumptions!AJ22</f>
        <v>1</v>
      </c>
      <c r="AK8" s="49">
        <f>Assumptions!AK22</f>
        <v>1</v>
      </c>
      <c r="AL8" s="49">
        <f>Assumptions!AL22</f>
        <v>0.9</v>
      </c>
    </row>
    <row r="9" spans="1:38" x14ac:dyDescent="0.2">
      <c r="A9" s="40" t="s">
        <v>76</v>
      </c>
      <c r="B9" s="2"/>
      <c r="C9" s="48">
        <f>C7*C8</f>
        <v>8</v>
      </c>
      <c r="D9" s="48">
        <f t="shared" ref="D9:AL9" si="1">D7*D8</f>
        <v>12</v>
      </c>
      <c r="E9" s="48">
        <f t="shared" si="1"/>
        <v>17</v>
      </c>
      <c r="F9" s="48">
        <f t="shared" si="1"/>
        <v>35.500240249999997</v>
      </c>
      <c r="G9" s="48">
        <f t="shared" si="1"/>
        <v>20.562794306249998</v>
      </c>
      <c r="H9" s="48">
        <f t="shared" si="1"/>
        <v>19.001259571382811</v>
      </c>
      <c r="I9" s="48">
        <f t="shared" si="1"/>
        <v>23.784168446483754</v>
      </c>
      <c r="J9" s="48">
        <f t="shared" si="1"/>
        <v>27.254929070236649</v>
      </c>
      <c r="K9" s="48">
        <f t="shared" si="1"/>
        <v>39.063736275946098</v>
      </c>
      <c r="L9" s="48">
        <f t="shared" si="1"/>
        <v>42.768076938033971</v>
      </c>
      <c r="M9" s="48">
        <f t="shared" si="1"/>
        <v>47.035894249091612</v>
      </c>
      <c r="N9" s="48">
        <f t="shared" si="1"/>
        <v>46.632573409623504</v>
      </c>
      <c r="O9" s="48">
        <f t="shared" si="1"/>
        <v>66.840788073446859</v>
      </c>
      <c r="P9" s="48">
        <f t="shared" si="1"/>
        <v>78.864965389972411</v>
      </c>
      <c r="Q9" s="48">
        <f t="shared" si="1"/>
        <v>88.374582602716188</v>
      </c>
      <c r="R9" s="48">
        <f t="shared" si="1"/>
        <v>99.123863688327333</v>
      </c>
      <c r="S9" s="48">
        <f t="shared" si="1"/>
        <v>112.83173301820098</v>
      </c>
      <c r="T9" s="48">
        <f t="shared" si="1"/>
        <v>109.41529200520175</v>
      </c>
      <c r="U9" s="48">
        <f t="shared" si="1"/>
        <v>101.95078045295453</v>
      </c>
      <c r="V9" s="48">
        <f t="shared" si="1"/>
        <v>122.52485890997093</v>
      </c>
      <c r="W9" s="48">
        <f t="shared" si="1"/>
        <v>173.76595315042269</v>
      </c>
      <c r="X9" s="48">
        <f t="shared" si="1"/>
        <v>184.93935682572976</v>
      </c>
      <c r="Y9" s="48">
        <f t="shared" si="1"/>
        <v>197.08116999720326</v>
      </c>
      <c r="Z9" s="48">
        <f t="shared" si="1"/>
        <v>189.20891515214319</v>
      </c>
      <c r="AA9" s="48">
        <f t="shared" si="1"/>
        <v>239.34846521964721</v>
      </c>
      <c r="AB9" s="48">
        <f t="shared" si="1"/>
        <v>254.65050802429954</v>
      </c>
      <c r="AC9" s="48">
        <f t="shared" si="1"/>
        <v>267.33832660758003</v>
      </c>
      <c r="AD9" s="48">
        <f t="shared" si="1"/>
        <v>280.7490006996033</v>
      </c>
      <c r="AE9" s="48">
        <f t="shared" si="1"/>
        <v>299.39011579404973</v>
      </c>
      <c r="AF9" s="48">
        <f t="shared" si="1"/>
        <v>271.54761421230944</v>
      </c>
      <c r="AG9" s="48">
        <f t="shared" si="1"/>
        <v>238.88615234315279</v>
      </c>
      <c r="AH9" s="48">
        <f t="shared" si="1"/>
        <v>273.56012454586977</v>
      </c>
      <c r="AI9" s="48">
        <f t="shared" si="1"/>
        <v>390.13765514608286</v>
      </c>
      <c r="AJ9" s="48">
        <f t="shared" si="1"/>
        <v>417.60623859080408</v>
      </c>
      <c r="AK9" s="48">
        <f t="shared" si="1"/>
        <v>447.34308080056269</v>
      </c>
      <c r="AL9" s="48">
        <f t="shared" si="1"/>
        <v>431.4459570377748</v>
      </c>
    </row>
    <row r="10" spans="1:38" x14ac:dyDescent="0.2">
      <c r="A10" s="40" t="s">
        <v>77</v>
      </c>
      <c r="B10" s="2">
        <f>Assumptions!$B$23</f>
        <v>1500</v>
      </c>
      <c r="C10" s="48">
        <f>Assumptions!$B$23</f>
        <v>1500</v>
      </c>
      <c r="D10" s="48">
        <f>Assumptions!$B$23</f>
        <v>1500</v>
      </c>
      <c r="E10" s="48">
        <f>Assumptions!$B$23</f>
        <v>1500</v>
      </c>
      <c r="F10" s="48">
        <f>Assumptions!$B$23</f>
        <v>1500</v>
      </c>
      <c r="G10" s="48">
        <f>Assumptions!$B$23</f>
        <v>1500</v>
      </c>
      <c r="H10" s="48">
        <f>Assumptions!$B$23</f>
        <v>1500</v>
      </c>
      <c r="I10" s="48">
        <f>Assumptions!$B$23</f>
        <v>1500</v>
      </c>
      <c r="J10" s="48">
        <f>Assumptions!$B$23</f>
        <v>1500</v>
      </c>
      <c r="K10" s="48">
        <f>Assumptions!$B$23</f>
        <v>1500</v>
      </c>
      <c r="L10" s="48">
        <f>Assumptions!$B$23</f>
        <v>1500</v>
      </c>
      <c r="M10" s="48">
        <f>Assumptions!$B$23</f>
        <v>1500</v>
      </c>
      <c r="N10" s="48">
        <f>Assumptions!$B$23</f>
        <v>1500</v>
      </c>
      <c r="O10" s="48">
        <f>Assumptions!$B$23</f>
        <v>1500</v>
      </c>
      <c r="P10" s="48">
        <f>Assumptions!$B$23</f>
        <v>1500</v>
      </c>
      <c r="Q10" s="48">
        <f>Assumptions!$B$23</f>
        <v>1500</v>
      </c>
      <c r="R10" s="48">
        <f>Assumptions!$B$23</f>
        <v>1500</v>
      </c>
      <c r="S10" s="48">
        <f>Assumptions!$B$23</f>
        <v>1500</v>
      </c>
      <c r="T10" s="48">
        <f>Assumptions!$B$23</f>
        <v>1500</v>
      </c>
      <c r="U10" s="48">
        <f>Assumptions!$B$23</f>
        <v>1500</v>
      </c>
      <c r="V10" s="48">
        <f>Assumptions!$B$23</f>
        <v>1500</v>
      </c>
      <c r="W10" s="48">
        <f>Assumptions!$B$23</f>
        <v>1500</v>
      </c>
      <c r="X10" s="48">
        <f>Assumptions!$B$23</f>
        <v>1500</v>
      </c>
      <c r="Y10" s="48">
        <f>Assumptions!$B$23</f>
        <v>1500</v>
      </c>
      <c r="Z10" s="48">
        <f>Assumptions!$B$23</f>
        <v>1500</v>
      </c>
      <c r="AA10" s="48">
        <f>Assumptions!$B$23</f>
        <v>1500</v>
      </c>
      <c r="AB10" s="48">
        <f>Assumptions!$B$23</f>
        <v>1500</v>
      </c>
      <c r="AC10" s="48">
        <f>Assumptions!$B$23</f>
        <v>1500</v>
      </c>
      <c r="AD10" s="48">
        <f>Assumptions!$B$23</f>
        <v>1500</v>
      </c>
      <c r="AE10" s="48">
        <f>Assumptions!$B$23</f>
        <v>1500</v>
      </c>
      <c r="AF10" s="48">
        <f>Assumptions!$B$23</f>
        <v>1500</v>
      </c>
      <c r="AG10" s="48">
        <f>Assumptions!$B$23</f>
        <v>1500</v>
      </c>
      <c r="AH10" s="48">
        <f>Assumptions!$B$23</f>
        <v>1500</v>
      </c>
      <c r="AI10" s="48">
        <f>Assumptions!$B$23</f>
        <v>1500</v>
      </c>
      <c r="AJ10" s="48">
        <f>Assumptions!$B$23</f>
        <v>1500</v>
      </c>
      <c r="AK10" s="48">
        <f>Assumptions!$B$23</f>
        <v>1500</v>
      </c>
      <c r="AL10" s="48">
        <f>Assumptions!$B$23</f>
        <v>1500</v>
      </c>
    </row>
    <row r="11" spans="1:38" x14ac:dyDescent="0.2">
      <c r="A11" s="40" t="s">
        <v>78</v>
      </c>
      <c r="B11" s="2"/>
      <c r="C11" s="48">
        <v>0</v>
      </c>
      <c r="D11" s="48">
        <f>C23</f>
        <v>8</v>
      </c>
      <c r="E11" s="48">
        <f t="shared" ref="E11:AL11" si="2">D23</f>
        <v>20.134999999999998</v>
      </c>
      <c r="F11" s="48">
        <f t="shared" si="2"/>
        <v>37.558224999999993</v>
      </c>
      <c r="G11" s="48">
        <f t="shared" si="2"/>
        <v>72.808825624999997</v>
      </c>
      <c r="H11" s="48">
        <f t="shared" si="2"/>
        <v>95.715811390624992</v>
      </c>
      <c r="I11" s="48">
        <f t="shared" si="2"/>
        <v>117.74870549974217</v>
      </c>
      <c r="J11" s="48">
        <f t="shared" si="2"/>
        <v>147.99894918869111</v>
      </c>
      <c r="K11" s="48">
        <f t="shared" si="2"/>
        <v>183.26373639940107</v>
      </c>
      <c r="L11" s="48">
        <f t="shared" si="2"/>
        <v>232.42307708926631</v>
      </c>
      <c r="M11" s="48">
        <f t="shared" si="2"/>
        <v>287.84326943435121</v>
      </c>
      <c r="N11" s="48">
        <f t="shared" si="2"/>
        <v>350.93300505708027</v>
      </c>
      <c r="O11" s="48">
        <f t="shared" si="2"/>
        <v>416.78653414940959</v>
      </c>
      <c r="P11" s="48">
        <f t="shared" si="2"/>
        <v>513.38850433302673</v>
      </c>
      <c r="Q11" s="48">
        <f t="shared" si="2"/>
        <v>624.05091780795772</v>
      </c>
      <c r="R11" s="48">
        <f t="shared" si="2"/>
        <v>750.48737431474819</v>
      </c>
      <c r="S11" s="48">
        <f t="shared" si="2"/>
        <v>909.79703353556647</v>
      </c>
      <c r="T11" s="48">
        <f t="shared" si="2"/>
        <v>1096.3763660810689</v>
      </c>
      <c r="U11" s="48">
        <f t="shared" si="2"/>
        <v>1294.377467507215</v>
      </c>
      <c r="V11" s="48">
        <f t="shared" si="2"/>
        <v>1501.2942060736436</v>
      </c>
      <c r="W11" s="48">
        <f t="shared" si="2"/>
        <v>1622.8439238935855</v>
      </c>
      <c r="X11" s="48">
        <f t="shared" si="2"/>
        <v>1753.9928536192197</v>
      </c>
      <c r="Y11" s="48">
        <f t="shared" si="2"/>
        <v>1895.9018888578144</v>
      </c>
      <c r="Z11" s="48">
        <f t="shared" si="2"/>
        <v>2049.0236438536194</v>
      </c>
      <c r="AA11" s="48">
        <f t="shared" si="2"/>
        <v>2214.871835773858</v>
      </c>
      <c r="AB11" s="48">
        <f t="shared" si="2"/>
        <v>2393.8945336033285</v>
      </c>
      <c r="AC11" s="48">
        <f t="shared" si="2"/>
        <v>2541.8702956397779</v>
      </c>
      <c r="AD11" s="48">
        <f t="shared" si="2"/>
        <v>2698.877785551148</v>
      </c>
      <c r="AE11" s="48">
        <f t="shared" si="2"/>
        <v>2917.0012866005527</v>
      </c>
      <c r="AF11" s="48">
        <f t="shared" si="2"/>
        <v>3152.0864602916272</v>
      </c>
      <c r="AG11" s="48">
        <f t="shared" si="2"/>
        <v>3406.2881324309969</v>
      </c>
      <c r="AH11" s="48">
        <f t="shared" si="2"/>
        <v>3681.1870303091819</v>
      </c>
      <c r="AI11" s="48">
        <f t="shared" si="2"/>
        <v>3978.3072794009213</v>
      </c>
      <c r="AJ11" s="48">
        <f t="shared" si="2"/>
        <v>4299.5137621200456</v>
      </c>
      <c r="AK11" s="48">
        <f t="shared" si="2"/>
        <v>4646.9231200062522</v>
      </c>
      <c r="AL11" s="48">
        <f t="shared" si="2"/>
        <v>5021.9377412070962</v>
      </c>
    </row>
    <row r="12" spans="1:38" x14ac:dyDescent="0.2">
      <c r="A12" s="40" t="s">
        <v>79</v>
      </c>
      <c r="B12" s="2"/>
      <c r="C12" s="48">
        <f>C10-C11</f>
        <v>1500</v>
      </c>
      <c r="D12" s="48">
        <f t="shared" ref="D12:AL12" si="3">D10-D11</f>
        <v>1492</v>
      </c>
      <c r="E12" s="48">
        <f t="shared" si="3"/>
        <v>1479.865</v>
      </c>
      <c r="F12" s="48">
        <f t="shared" si="3"/>
        <v>1462.441775</v>
      </c>
      <c r="G12" s="48">
        <f t="shared" si="3"/>
        <v>1427.1911743749999</v>
      </c>
      <c r="H12" s="48">
        <f t="shared" si="3"/>
        <v>1404.284188609375</v>
      </c>
      <c r="I12" s="48">
        <f t="shared" si="3"/>
        <v>1382.2512945002579</v>
      </c>
      <c r="J12" s="48">
        <f t="shared" si="3"/>
        <v>1352.0010508113089</v>
      </c>
      <c r="K12" s="48">
        <f t="shared" si="3"/>
        <v>1316.7362636005989</v>
      </c>
      <c r="L12" s="48">
        <f t="shared" si="3"/>
        <v>1267.5769229107336</v>
      </c>
      <c r="M12" s="48">
        <f t="shared" si="3"/>
        <v>1212.1567305656488</v>
      </c>
      <c r="N12" s="48">
        <f t="shared" si="3"/>
        <v>1149.0669949429198</v>
      </c>
      <c r="O12" s="48">
        <f t="shared" si="3"/>
        <v>1083.2134658505904</v>
      </c>
      <c r="P12" s="48">
        <f t="shared" si="3"/>
        <v>986.61149566697327</v>
      </c>
      <c r="Q12" s="48">
        <f t="shared" si="3"/>
        <v>875.94908219204228</v>
      </c>
      <c r="R12" s="48">
        <f t="shared" si="3"/>
        <v>749.51262568525181</v>
      </c>
      <c r="S12" s="48">
        <f t="shared" si="3"/>
        <v>590.20296646443353</v>
      </c>
      <c r="T12" s="48">
        <f t="shared" si="3"/>
        <v>403.62363391893109</v>
      </c>
      <c r="U12" s="48">
        <f t="shared" si="3"/>
        <v>205.62253249278501</v>
      </c>
      <c r="V12" s="48">
        <f t="shared" si="3"/>
        <v>-1.294206073643636</v>
      </c>
      <c r="W12" s="48">
        <f t="shared" si="3"/>
        <v>-122.8439238935855</v>
      </c>
      <c r="X12" s="48">
        <f t="shared" si="3"/>
        <v>-253.99285361921966</v>
      </c>
      <c r="Y12" s="48">
        <f t="shared" si="3"/>
        <v>-395.90188885781436</v>
      </c>
      <c r="Z12" s="48">
        <f t="shared" si="3"/>
        <v>-549.02364385361943</v>
      </c>
      <c r="AA12" s="48">
        <f t="shared" si="3"/>
        <v>-714.87183577385804</v>
      </c>
      <c r="AB12" s="48">
        <f t="shared" si="3"/>
        <v>-893.89453360332845</v>
      </c>
      <c r="AC12" s="48">
        <f t="shared" si="3"/>
        <v>-1041.8702956397779</v>
      </c>
      <c r="AD12" s="48">
        <f t="shared" si="3"/>
        <v>-1198.877785551148</v>
      </c>
      <c r="AE12" s="48">
        <f t="shared" si="3"/>
        <v>-1417.0012866005527</v>
      </c>
      <c r="AF12" s="48">
        <f t="shared" si="3"/>
        <v>-1652.0864602916272</v>
      </c>
      <c r="AG12" s="48">
        <f t="shared" si="3"/>
        <v>-1906.2881324309969</v>
      </c>
      <c r="AH12" s="48">
        <f t="shared" si="3"/>
        <v>-2181.1870303091819</v>
      </c>
      <c r="AI12" s="48">
        <f t="shared" si="3"/>
        <v>-2478.3072794009213</v>
      </c>
      <c r="AJ12" s="48">
        <f t="shared" si="3"/>
        <v>-2799.5137621200456</v>
      </c>
      <c r="AK12" s="48">
        <f t="shared" si="3"/>
        <v>-3146.9231200062522</v>
      </c>
      <c r="AL12" s="48">
        <f t="shared" si="3"/>
        <v>-3521.9377412070962</v>
      </c>
    </row>
    <row r="13" spans="1:38" x14ac:dyDescent="0.2">
      <c r="A13" s="40" t="s">
        <v>80</v>
      </c>
      <c r="B13" s="2"/>
      <c r="C13" s="48">
        <f>MIN(C9,MAX(C12,0))</f>
        <v>8</v>
      </c>
      <c r="D13" s="48">
        <f t="shared" ref="D13:AL13" si="4">MIN(D9,MAX(D12,0))</f>
        <v>12</v>
      </c>
      <c r="E13" s="48">
        <f t="shared" si="4"/>
        <v>17</v>
      </c>
      <c r="F13" s="48">
        <f t="shared" si="4"/>
        <v>35.500240249999997</v>
      </c>
      <c r="G13" s="48">
        <f t="shared" si="4"/>
        <v>20.562794306249998</v>
      </c>
      <c r="H13" s="48">
        <f t="shared" si="4"/>
        <v>19.001259571382811</v>
      </c>
      <c r="I13" s="48">
        <f t="shared" si="4"/>
        <v>23.784168446483754</v>
      </c>
      <c r="J13" s="48">
        <f t="shared" si="4"/>
        <v>27.254929070236649</v>
      </c>
      <c r="K13" s="48">
        <f t="shared" si="4"/>
        <v>39.063736275946098</v>
      </c>
      <c r="L13" s="48">
        <f t="shared" si="4"/>
        <v>42.768076938033971</v>
      </c>
      <c r="M13" s="48">
        <f t="shared" si="4"/>
        <v>47.035894249091612</v>
      </c>
      <c r="N13" s="48">
        <f t="shared" si="4"/>
        <v>46.632573409623504</v>
      </c>
      <c r="O13" s="48">
        <f t="shared" si="4"/>
        <v>66.840788073446859</v>
      </c>
      <c r="P13" s="48">
        <f t="shared" si="4"/>
        <v>78.864965389972411</v>
      </c>
      <c r="Q13" s="48">
        <f t="shared" si="4"/>
        <v>88.374582602716188</v>
      </c>
      <c r="R13" s="48">
        <f t="shared" si="4"/>
        <v>99.123863688327333</v>
      </c>
      <c r="S13" s="48">
        <f t="shared" si="4"/>
        <v>112.83173301820098</v>
      </c>
      <c r="T13" s="48">
        <f t="shared" si="4"/>
        <v>109.41529200520175</v>
      </c>
      <c r="U13" s="48">
        <f t="shared" si="4"/>
        <v>101.95078045295453</v>
      </c>
      <c r="V13" s="48">
        <f t="shared" si="4"/>
        <v>0</v>
      </c>
      <c r="W13" s="48">
        <f t="shared" si="4"/>
        <v>0</v>
      </c>
      <c r="X13" s="48">
        <f t="shared" si="4"/>
        <v>0</v>
      </c>
      <c r="Y13" s="48">
        <f t="shared" si="4"/>
        <v>0</v>
      </c>
      <c r="Z13" s="48">
        <f t="shared" si="4"/>
        <v>0</v>
      </c>
      <c r="AA13" s="48">
        <f t="shared" si="4"/>
        <v>0</v>
      </c>
      <c r="AB13" s="48">
        <f t="shared" si="4"/>
        <v>0</v>
      </c>
      <c r="AC13" s="48">
        <f t="shared" si="4"/>
        <v>0</v>
      </c>
      <c r="AD13" s="48">
        <f t="shared" si="4"/>
        <v>0</v>
      </c>
      <c r="AE13" s="48">
        <f t="shared" si="4"/>
        <v>0</v>
      </c>
      <c r="AF13" s="48">
        <f t="shared" si="4"/>
        <v>0</v>
      </c>
      <c r="AG13" s="48">
        <f t="shared" si="4"/>
        <v>0</v>
      </c>
      <c r="AH13" s="48">
        <f t="shared" si="4"/>
        <v>0</v>
      </c>
      <c r="AI13" s="48">
        <f t="shared" si="4"/>
        <v>0</v>
      </c>
      <c r="AJ13" s="48">
        <f t="shared" si="4"/>
        <v>0</v>
      </c>
      <c r="AK13" s="48">
        <f t="shared" si="4"/>
        <v>0</v>
      </c>
      <c r="AL13" s="48">
        <f t="shared" si="4"/>
        <v>0</v>
      </c>
    </row>
    <row r="14" spans="1:38" x14ac:dyDescent="0.2">
      <c r="A14" s="40" t="s">
        <v>258</v>
      </c>
      <c r="B14" s="2" t="s">
        <v>12</v>
      </c>
      <c r="C14" s="50">
        <v>0</v>
      </c>
      <c r="D14" s="50">
        <f>IF(D1&gt;=Assumptions!$B$25,C30*Assumptions!$B$18*Assumptions!$B$19*Assumptions!$B$27*CHOOSE(Assumptions!$B$2,Assumptions!$B$88,Assumptions!$B$89,Assumptions!$B$90),0)</f>
        <v>0.13500000000000001</v>
      </c>
      <c r="E14" s="50">
        <f>IF(E1&gt;=Assumptions!$B$25,D30*Assumptions!$B$18*Assumptions!$B$19*Assumptions!$B$27*CHOOSE(Assumptions!$B$2,Assumptions!$B$88,Assumptions!$B$89,Assumptions!$B$90),0)</f>
        <v>0.42322499999999968</v>
      </c>
      <c r="F14" s="50">
        <f>IF(F1&gt;=Assumptions!$B$25,E30*Assumptions!$B$18*Assumptions!$B$19*Assumptions!$B$27*CHOOSE(Assumptions!$B$2,Assumptions!$B$88,Assumptions!$B$89,Assumptions!$B$90),0)</f>
        <v>0.75036037499999908</v>
      </c>
      <c r="G14" s="50">
        <f>IF(G1&gt;=Assumptions!$B$25,F30*Assumptions!$B$18*Assumptions!$B$19*Assumptions!$B$27*CHOOSE(Assumptions!$B$2,Assumptions!$B$88,Assumptions!$B$89,Assumptions!$B$90),0)</f>
        <v>8.3441914593749988</v>
      </c>
      <c r="H14" s="50">
        <f>IF(H1&gt;=Assumptions!$B$25,G30*Assumptions!$B$18*Assumptions!$B$19*Assumptions!$B$27*CHOOSE(Assumptions!$B$2,Assumptions!$B$88,Assumptions!$B$89,Assumptions!$B$90),0)</f>
        <v>11.031634537734373</v>
      </c>
      <c r="I14" s="50">
        <f>IF(I1&gt;=Assumptions!$B$25,H30*Assumptions!$B$18*Assumptions!$B$19*Assumptions!$B$27*CHOOSE(Assumptions!$B$2,Assumptions!$B$88,Assumptions!$B$89,Assumptions!$B$90),0)</f>
        <v>13.466075242465193</v>
      </c>
      <c r="J14" s="50">
        <f>IF(J1&gt;=Assumptions!$B$25,I30*Assumptions!$B$18*Assumptions!$B$19*Assumptions!$B$27*CHOOSE(Assumptions!$B$2,Assumptions!$B$88,Assumptions!$B$89,Assumptions!$B$90),0)</f>
        <v>17.009858140473302</v>
      </c>
      <c r="K14" s="50">
        <f>IF(K1&gt;=Assumptions!$B$25,J30*Assumptions!$B$18*Assumptions!$B$19*Assumptions!$B$27*CHOOSE(Assumptions!$B$2,Assumptions!$B$88,Assumptions!$B$89,Assumptions!$B$90),0)</f>
        <v>21.095604413919141</v>
      </c>
      <c r="L14" s="50">
        <f>IF(L1&gt;=Assumptions!$B$25,K30*Assumptions!$B$18*Assumptions!$B$19*Assumptions!$B$27*CHOOSE(Assumptions!$B$2,Assumptions!$B$88,Assumptions!$B$89,Assumptions!$B$90),0)</f>
        <v>26.65211540705095</v>
      </c>
      <c r="M14" s="50">
        <f>IF(M1&gt;=Assumptions!$B$25,L30*Assumptions!$B$18*Assumptions!$B$19*Assumptions!$B$27*CHOOSE(Assumptions!$B$2,Assumptions!$B$88,Assumptions!$B$89,Assumptions!$B$90),0)</f>
        <v>33.053841373637411</v>
      </c>
      <c r="N14" s="50">
        <f>IF(N1&gt;=Assumptions!$B$25,M30*Assumptions!$B$18*Assumptions!$B$19*Assumptions!$B$27*CHOOSE(Assumptions!$B$2,Assumptions!$B$88,Assumptions!$B$89,Assumptions!$B$90),0)</f>
        <v>40.220955682705835</v>
      </c>
      <c r="O14" s="50">
        <f>IF(O1&gt;=Assumptions!$B$25,N30*Assumptions!$B$18*Assumptions!$B$19*Assumptions!$B$27*CHOOSE(Assumptions!$B$2,Assumptions!$B$88,Assumptions!$B$89,Assumptions!$B$90),0)</f>
        <v>47.761182110170289</v>
      </c>
      <c r="P14" s="50">
        <f>IF(P1&gt;=Assumptions!$B$25,O30*Assumptions!$B$18*Assumptions!$B$19*Assumptions!$B$27*CHOOSE(Assumptions!$B$2,Assumptions!$B$88,Assumptions!$B$89,Assumptions!$B$90),0)</f>
        <v>65.797448084958603</v>
      </c>
      <c r="Q14" s="50">
        <f>IF(Q1&gt;=Assumptions!$B$25,P30*Assumptions!$B$18*Assumptions!$B$19*Assumptions!$B$27*CHOOSE(Assumptions!$B$2,Assumptions!$B$88,Assumptions!$B$89,Assumptions!$B$90),0)</f>
        <v>80.061873904074275</v>
      </c>
      <c r="R14" s="50">
        <f>IF(R1&gt;=Assumptions!$B$25,Q30*Assumptions!$B$18*Assumptions!$B$19*Assumptions!$B$27*CHOOSE(Assumptions!$B$2,Assumptions!$B$88,Assumptions!$B$89,Assumptions!$B$90),0)</f>
        <v>96.185795532490999</v>
      </c>
      <c r="S14" s="50">
        <f>IF(S1&gt;=Assumptions!$B$25,R30*Assumptions!$B$18*Assumptions!$B$19*Assumptions!$B$27*CHOOSE(Assumptions!$B$2,Assumptions!$B$88,Assumptions!$B$89,Assumptions!$B$90),0)</f>
        <v>116.74759952730147</v>
      </c>
      <c r="T14" s="50">
        <f>IF(T1&gt;=Assumptions!$B$25,S30*Assumptions!$B$18*Assumptions!$B$19*Assumptions!$B$27*CHOOSE(Assumptions!$B$2,Assumptions!$B$88,Assumptions!$B$89,Assumptions!$B$90),0)</f>
        <v>140.58580942094429</v>
      </c>
      <c r="U14" s="50">
        <f>IF(U1&gt;=Assumptions!$B$25,T30*Assumptions!$B$18*Assumptions!$B$19*Assumptions!$B$27*CHOOSE(Assumptions!$B$2,Assumptions!$B$88,Assumptions!$B$89,Assumptions!$B$90),0)</f>
        <v>165.96595811347399</v>
      </c>
      <c r="V14" s="50">
        <f>IF(V1&gt;=Assumptions!$B$25,U30*Assumptions!$B$18*Assumptions!$B$19*Assumptions!$B$27*CHOOSE(Assumptions!$B$2,Assumptions!$B$88,Assumptions!$B$89,Assumptions!$B$90),0)</f>
        <v>192.54971781994186</v>
      </c>
      <c r="W14" s="50">
        <f>IF(W1&gt;=Assumptions!$B$25,V30*Assumptions!$B$18*Assumptions!$B$19*Assumptions!$B$27*CHOOSE(Assumptions!$B$2,Assumptions!$B$88,Assumptions!$B$89,Assumptions!$B$90),0)</f>
        <v>208.14892972563405</v>
      </c>
      <c r="X14" s="50">
        <f>IF(X1&gt;=Assumptions!$B$25,W30*Assumptions!$B$18*Assumptions!$B$19*Assumptions!$B$27*CHOOSE(Assumptions!$B$2,Assumptions!$B$88,Assumptions!$B$89,Assumptions!$B$90),0)</f>
        <v>224.90903523859464</v>
      </c>
      <c r="Y14" s="50">
        <f>IF(Y1&gt;=Assumptions!$B$25,X30*Assumptions!$B$18*Assumptions!$B$19*Assumptions!$B$27*CHOOSE(Assumptions!$B$2,Assumptions!$B$88,Assumptions!$B$89,Assumptions!$B$90),0)</f>
        <v>243.12175499580491</v>
      </c>
      <c r="Z14" s="50">
        <f>IF(Z1&gt;=Assumptions!$B$25,Y30*Assumptions!$B$18*Assumptions!$B$19*Assumptions!$B$27*CHOOSE(Assumptions!$B$2,Assumptions!$B$88,Assumptions!$B$89,Assumptions!$B$90),0)</f>
        <v>262.84819192023861</v>
      </c>
      <c r="AA14" s="50">
        <f>IF(AA1&gt;=Assumptions!$B$25,Z30*Assumptions!$B$18*Assumptions!$B$19*Assumptions!$B$27*CHOOSE(Assumptions!$B$2,Assumptions!$B$88,Assumptions!$B$89,Assumptions!$B$90),0)</f>
        <v>284.02269782947081</v>
      </c>
      <c r="AB14" s="50">
        <f>IF(AB1&gt;=Assumptions!$B$25,AA30*Assumptions!$B$18*Assumptions!$B$19*Assumptions!$B$27*CHOOSE(Assumptions!$B$2,Assumptions!$B$88,Assumptions!$B$89,Assumptions!$B$90),0)</f>
        <v>306.97576203644928</v>
      </c>
      <c r="AC14" s="50">
        <f>IF(AC1&gt;=Assumptions!$B$25,AB30*Assumptions!$B$18*Assumptions!$B$19*Assumptions!$B$27*CHOOSE(Assumptions!$B$2,Assumptions!$B$88,Assumptions!$B$89,Assumptions!$B$90),0)</f>
        <v>326.00748991136999</v>
      </c>
      <c r="AD14" s="50">
        <f>IF(AD1&gt;=Assumptions!$B$25,AC30*Assumptions!$B$18*Assumptions!$B$19*Assumptions!$B$27*CHOOSE(Assumptions!$B$2,Assumptions!$B$88,Assumptions!$B$89,Assumptions!$B$90),0)</f>
        <v>346.12350104940492</v>
      </c>
      <c r="AE14" s="50">
        <f>IF(AE1&gt;=Assumptions!$B$25,AD30*Assumptions!$B$18*Assumptions!$B$19*Assumptions!$B$27*CHOOSE(Assumptions!$B$2,Assumptions!$B$88,Assumptions!$B$89,Assumptions!$B$90),0)</f>
        <v>374.08517369107454</v>
      </c>
      <c r="AF14" s="50">
        <f>IF(AF1&gt;=Assumptions!$B$25,AE30*Assumptions!$B$18*Assumptions!$B$19*Assumptions!$B$27*CHOOSE(Assumptions!$B$2,Assumptions!$B$88,Assumptions!$B$89,Assumptions!$B$90),0)</f>
        <v>404.20167213936963</v>
      </c>
      <c r="AG14" s="50">
        <f>IF(AG1&gt;=Assumptions!$B$25,AF30*Assumptions!$B$18*Assumptions!$B$19*Assumptions!$B$27*CHOOSE(Assumptions!$B$2,Assumptions!$B$88,Assumptions!$B$89,Assumptions!$B$90),0)</f>
        <v>436.89889787818458</v>
      </c>
      <c r="AH14" s="50">
        <f>IF(AH1&gt;=Assumptions!$B$25,AG30*Assumptions!$B$18*Assumptions!$B$19*Assumptions!$B$27*CHOOSE(Assumptions!$B$2,Assumptions!$B$88,Assumptions!$B$89,Assumptions!$B$90),0)</f>
        <v>472.12024909173954</v>
      </c>
      <c r="AI14" s="50">
        <f>IF(AI1&gt;=Assumptions!$B$25,AH30*Assumptions!$B$18*Assumptions!$B$19*Assumptions!$B$27*CHOOSE(Assumptions!$B$2,Assumptions!$B$88,Assumptions!$B$89,Assumptions!$B$90),0)</f>
        <v>510.20648271912432</v>
      </c>
      <c r="AJ14" s="50">
        <f>IF(AJ1&gt;=Assumptions!$B$25,AI30*Assumptions!$B$18*Assumptions!$B$19*Assumptions!$B$27*CHOOSE(Assumptions!$B$2,Assumptions!$B$88,Assumptions!$B$89,Assumptions!$B$90),0)</f>
        <v>551.40935788620618</v>
      </c>
      <c r="AK14" s="50">
        <f>IF(AK1&gt;=Assumptions!$B$25,AJ30*Assumptions!$B$18*Assumptions!$B$19*Assumptions!$B$27*CHOOSE(Assumptions!$B$2,Assumptions!$B$88,Assumptions!$B$89,Assumptions!$B$90),0)</f>
        <v>596.01462120084398</v>
      </c>
      <c r="AL14" s="50">
        <f>IF(AL1&gt;=Assumptions!$B$25,AK30*Assumptions!$B$18*Assumptions!$B$19*Assumptions!$B$27*CHOOSE(Assumptions!$B$2,Assumptions!$B$88,Assumptions!$B$89,Assumptions!$B$90),0)</f>
        <v>644.07659506295795</v>
      </c>
    </row>
    <row r="15" spans="1:38" x14ac:dyDescent="0.2">
      <c r="A15" s="40" t="s">
        <v>259</v>
      </c>
      <c r="B15" s="2"/>
      <c r="C15" s="48">
        <f>Assumptions!$B$26</f>
        <v>50000</v>
      </c>
      <c r="D15" s="48">
        <f>Assumptions!$B$26</f>
        <v>50000</v>
      </c>
      <c r="E15" s="48">
        <f>Assumptions!$B$26</f>
        <v>50000</v>
      </c>
      <c r="F15" s="48">
        <f>Assumptions!$B$26</f>
        <v>50000</v>
      </c>
      <c r="G15" s="48">
        <f>Assumptions!$B$26</f>
        <v>50000</v>
      </c>
      <c r="H15" s="48">
        <f>Assumptions!$B$26</f>
        <v>50000</v>
      </c>
      <c r="I15" s="48">
        <f>Assumptions!$B$26</f>
        <v>50000</v>
      </c>
      <c r="J15" s="48">
        <f>Assumptions!$B$26</f>
        <v>50000</v>
      </c>
      <c r="K15" s="48">
        <f>Assumptions!$B$26</f>
        <v>50000</v>
      </c>
      <c r="L15" s="48">
        <f>Assumptions!$B$26</f>
        <v>50000</v>
      </c>
      <c r="M15" s="48">
        <f>Assumptions!$B$26</f>
        <v>50000</v>
      </c>
      <c r="N15" s="48">
        <f>Assumptions!$B$26</f>
        <v>50000</v>
      </c>
      <c r="O15" s="48">
        <f>Assumptions!$B$26</f>
        <v>50000</v>
      </c>
      <c r="P15" s="48">
        <f>Assumptions!$B$26</f>
        <v>50000</v>
      </c>
      <c r="Q15" s="48">
        <f>Assumptions!$B$26</f>
        <v>50000</v>
      </c>
      <c r="R15" s="48">
        <f>Assumptions!$B$26</f>
        <v>50000</v>
      </c>
      <c r="S15" s="48">
        <f>Assumptions!$B$26</f>
        <v>50000</v>
      </c>
      <c r="T15" s="48">
        <f>Assumptions!$B$26</f>
        <v>50000</v>
      </c>
      <c r="U15" s="48">
        <f>Assumptions!$B$26</f>
        <v>50000</v>
      </c>
      <c r="V15" s="48">
        <f>Assumptions!$B$26</f>
        <v>50000</v>
      </c>
      <c r="W15" s="48">
        <f>Assumptions!$B$26</f>
        <v>50000</v>
      </c>
      <c r="X15" s="48">
        <f>Assumptions!$B$26</f>
        <v>50000</v>
      </c>
      <c r="Y15" s="48">
        <f>Assumptions!$B$26</f>
        <v>50000</v>
      </c>
      <c r="Z15" s="48">
        <f>Assumptions!$B$26</f>
        <v>50000</v>
      </c>
      <c r="AA15" s="48">
        <f>Assumptions!$B$26</f>
        <v>50000</v>
      </c>
      <c r="AB15" s="48">
        <f>Assumptions!$B$26</f>
        <v>50000</v>
      </c>
      <c r="AC15" s="48">
        <f>Assumptions!$B$26</f>
        <v>50000</v>
      </c>
      <c r="AD15" s="48">
        <f>Assumptions!$B$26</f>
        <v>50000</v>
      </c>
      <c r="AE15" s="48">
        <f>Assumptions!$B$26</f>
        <v>50000</v>
      </c>
      <c r="AF15" s="48">
        <f>Assumptions!$B$26</f>
        <v>50000</v>
      </c>
      <c r="AG15" s="48">
        <f>Assumptions!$B$26</f>
        <v>50000</v>
      </c>
      <c r="AH15" s="48">
        <f>Assumptions!$B$26</f>
        <v>50000</v>
      </c>
      <c r="AI15" s="48">
        <f>Assumptions!$B$26</f>
        <v>50000</v>
      </c>
      <c r="AJ15" s="48">
        <f>Assumptions!$B$26</f>
        <v>50000</v>
      </c>
      <c r="AK15" s="48">
        <f>Assumptions!$B$26</f>
        <v>50000</v>
      </c>
      <c r="AL15" s="48">
        <f>Assumptions!$B$26</f>
        <v>50000</v>
      </c>
    </row>
    <row r="16" spans="1:38" x14ac:dyDescent="0.2">
      <c r="A16" s="40" t="s">
        <v>260</v>
      </c>
      <c r="B16" s="2"/>
      <c r="C16" s="50">
        <v>0</v>
      </c>
      <c r="D16" s="50">
        <f>MIN(C16+D14,D15)</f>
        <v>0.13500000000000001</v>
      </c>
      <c r="E16" s="50">
        <f t="shared" ref="E16:AL16" si="5">MIN(D16+E14,E15)</f>
        <v>0.55822499999999975</v>
      </c>
      <c r="F16" s="50">
        <f t="shared" si="5"/>
        <v>1.3085853749999989</v>
      </c>
      <c r="G16" s="50">
        <f t="shared" si="5"/>
        <v>9.6527768343749969</v>
      </c>
      <c r="H16" s="50">
        <f t="shared" si="5"/>
        <v>20.68441137210937</v>
      </c>
      <c r="I16" s="50">
        <f t="shared" si="5"/>
        <v>34.150486614574561</v>
      </c>
      <c r="J16" s="50">
        <f t="shared" si="5"/>
        <v>51.160344755047859</v>
      </c>
      <c r="K16" s="50">
        <f t="shared" si="5"/>
        <v>72.255949168966993</v>
      </c>
      <c r="L16" s="50">
        <f t="shared" si="5"/>
        <v>98.908064576017949</v>
      </c>
      <c r="M16" s="50">
        <f t="shared" si="5"/>
        <v>131.96190594965537</v>
      </c>
      <c r="N16" s="50">
        <f t="shared" si="5"/>
        <v>172.18286163236121</v>
      </c>
      <c r="O16" s="50">
        <f t="shared" si="5"/>
        <v>219.94404374253151</v>
      </c>
      <c r="P16" s="50">
        <f t="shared" si="5"/>
        <v>285.74149182749011</v>
      </c>
      <c r="Q16" s="50">
        <f t="shared" si="5"/>
        <v>365.80336573156438</v>
      </c>
      <c r="R16" s="50">
        <f t="shared" si="5"/>
        <v>461.98916126405538</v>
      </c>
      <c r="S16" s="50">
        <f t="shared" si="5"/>
        <v>578.7367607913568</v>
      </c>
      <c r="T16" s="50">
        <f t="shared" si="5"/>
        <v>719.32257021230112</v>
      </c>
      <c r="U16" s="50">
        <f t="shared" si="5"/>
        <v>885.28852832577513</v>
      </c>
      <c r="V16" s="50">
        <f t="shared" si="5"/>
        <v>1077.838246145717</v>
      </c>
      <c r="W16" s="50">
        <f t="shared" si="5"/>
        <v>1285.9871758713512</v>
      </c>
      <c r="X16" s="50">
        <f t="shared" si="5"/>
        <v>1510.8962111099459</v>
      </c>
      <c r="Y16" s="50">
        <f t="shared" si="5"/>
        <v>1754.0179661057507</v>
      </c>
      <c r="Z16" s="50">
        <f t="shared" si="5"/>
        <v>2016.8661580259893</v>
      </c>
      <c r="AA16" s="50">
        <f t="shared" si="5"/>
        <v>2300.88885585546</v>
      </c>
      <c r="AB16" s="50">
        <f t="shared" si="5"/>
        <v>2607.8646178919093</v>
      </c>
      <c r="AC16" s="50">
        <f t="shared" si="5"/>
        <v>2933.8721078032795</v>
      </c>
      <c r="AD16" s="50">
        <f t="shared" si="5"/>
        <v>3279.9956088526842</v>
      </c>
      <c r="AE16" s="50">
        <f t="shared" si="5"/>
        <v>3654.0807825437587</v>
      </c>
      <c r="AF16" s="50">
        <f t="shared" si="5"/>
        <v>4058.2824546831284</v>
      </c>
      <c r="AG16" s="50">
        <f t="shared" si="5"/>
        <v>4495.1813525613134</v>
      </c>
      <c r="AH16" s="50">
        <f t="shared" si="5"/>
        <v>4967.3016016530528</v>
      </c>
      <c r="AI16" s="50">
        <f t="shared" si="5"/>
        <v>5477.5080843721771</v>
      </c>
      <c r="AJ16" s="50">
        <f t="shared" si="5"/>
        <v>6028.9174422583837</v>
      </c>
      <c r="AK16" s="50">
        <f t="shared" si="5"/>
        <v>6624.9320634592277</v>
      </c>
      <c r="AL16" s="50">
        <f t="shared" si="5"/>
        <v>7269.0086585221852</v>
      </c>
    </row>
    <row r="17" spans="1:38" x14ac:dyDescent="0.2">
      <c r="A17" s="47" t="s">
        <v>261</v>
      </c>
      <c r="B17" s="2"/>
      <c r="C17" s="50">
        <f>C13+C16</f>
        <v>8</v>
      </c>
      <c r="D17" s="50">
        <f>D13+(D16-C16)</f>
        <v>12.135</v>
      </c>
      <c r="E17" s="50">
        <f t="shared" ref="E17:AL17" si="6">E13+(E16-D16)</f>
        <v>17.423224999999999</v>
      </c>
      <c r="F17" s="50">
        <f t="shared" si="6"/>
        <v>36.250600624999997</v>
      </c>
      <c r="G17" s="50">
        <f t="shared" si="6"/>
        <v>28.906985765624995</v>
      </c>
      <c r="H17" s="50">
        <f t="shared" si="6"/>
        <v>30.032894109117183</v>
      </c>
      <c r="I17" s="50">
        <f t="shared" si="6"/>
        <v>37.250243688948942</v>
      </c>
      <c r="J17" s="50">
        <f t="shared" si="6"/>
        <v>44.264787210709947</v>
      </c>
      <c r="K17" s="50">
        <f t="shared" si="6"/>
        <v>60.159340689865232</v>
      </c>
      <c r="L17" s="50">
        <f t="shared" si="6"/>
        <v>69.420192345084928</v>
      </c>
      <c r="M17" s="50">
        <f t="shared" si="6"/>
        <v>80.089735622729037</v>
      </c>
      <c r="N17" s="50">
        <f t="shared" si="6"/>
        <v>86.853529092329339</v>
      </c>
      <c r="O17" s="50">
        <f t="shared" si="6"/>
        <v>114.60197018361715</v>
      </c>
      <c r="P17" s="50">
        <f t="shared" si="6"/>
        <v>144.66241347493101</v>
      </c>
      <c r="Q17" s="50">
        <f t="shared" si="6"/>
        <v>168.43645650679048</v>
      </c>
      <c r="R17" s="50">
        <f t="shared" si="6"/>
        <v>195.30965922081833</v>
      </c>
      <c r="S17" s="50">
        <f t="shared" si="6"/>
        <v>229.57933254550238</v>
      </c>
      <c r="T17" s="50">
        <f t="shared" si="6"/>
        <v>250.00110142614608</v>
      </c>
      <c r="U17" s="50">
        <f t="shared" si="6"/>
        <v>267.91673856642853</v>
      </c>
      <c r="V17" s="50">
        <f t="shared" si="6"/>
        <v>192.54971781994186</v>
      </c>
      <c r="W17" s="50">
        <f t="shared" si="6"/>
        <v>208.14892972563416</v>
      </c>
      <c r="X17" s="50">
        <f t="shared" si="6"/>
        <v>224.9090352385947</v>
      </c>
      <c r="Y17" s="50">
        <f t="shared" si="6"/>
        <v>243.12175499580485</v>
      </c>
      <c r="Z17" s="50">
        <f t="shared" si="6"/>
        <v>262.84819192023861</v>
      </c>
      <c r="AA17" s="50">
        <f t="shared" si="6"/>
        <v>284.02269782947064</v>
      </c>
      <c r="AB17" s="50">
        <f t="shared" si="6"/>
        <v>306.9757620364494</v>
      </c>
      <c r="AC17" s="50">
        <f t="shared" si="6"/>
        <v>326.00748991137016</v>
      </c>
      <c r="AD17" s="50">
        <f t="shared" si="6"/>
        <v>346.12350104940469</v>
      </c>
      <c r="AE17" s="50">
        <f t="shared" si="6"/>
        <v>374.08517369107449</v>
      </c>
      <c r="AF17" s="50">
        <f t="shared" si="6"/>
        <v>404.20167213936975</v>
      </c>
      <c r="AG17" s="50">
        <f t="shared" si="6"/>
        <v>436.89889787818493</v>
      </c>
      <c r="AH17" s="50">
        <f t="shared" si="6"/>
        <v>472.12024909173942</v>
      </c>
      <c r="AI17" s="50">
        <f t="shared" si="6"/>
        <v>510.20648271912432</v>
      </c>
      <c r="AJ17" s="50">
        <f t="shared" si="6"/>
        <v>551.40935788620664</v>
      </c>
      <c r="AK17" s="50">
        <f t="shared" si="6"/>
        <v>596.01462120084398</v>
      </c>
      <c r="AL17" s="50">
        <f t="shared" si="6"/>
        <v>644.07659506295749</v>
      </c>
    </row>
    <row r="18" spans="1:38" x14ac:dyDescent="0.2">
      <c r="A18" s="59" t="s">
        <v>371</v>
      </c>
      <c r="B18" s="60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</row>
    <row r="19" spans="1:38" x14ac:dyDescent="0.2">
      <c r="A19" s="40" t="s">
        <v>81</v>
      </c>
      <c r="B19" s="2"/>
      <c r="C19" s="45">
        <f>Assumptions!C35*CHOOSE(Assumptions!$B$2,Assumptions!$B$91,Assumptions!$B$92,Assumptions!$B$93)</f>
        <v>0.1</v>
      </c>
      <c r="D19" s="45">
        <f>Assumptions!D35*CHOOSE(Assumptions!$B$2,Assumptions!$B$91,Assumptions!$B$92,Assumptions!$B$93)</f>
        <v>0.12</v>
      </c>
      <c r="E19" s="45">
        <f>Assumptions!E35*CHOOSE(Assumptions!$B$2,Assumptions!$B$91,Assumptions!$B$92,Assumptions!$B$93)</f>
        <v>0.12</v>
      </c>
      <c r="F19" s="45">
        <f>Assumptions!F35*CHOOSE(Assumptions!$B$2,Assumptions!$B$91,Assumptions!$B$92,Assumptions!$B$93)</f>
        <v>0.1</v>
      </c>
      <c r="G19" s="45">
        <f>Assumptions!G35*CHOOSE(Assumptions!$B$2,Assumptions!$B$91,Assumptions!$B$92,Assumptions!$B$93)</f>
        <v>0.1</v>
      </c>
      <c r="H19" s="45">
        <f>Assumptions!H35*CHOOSE(Assumptions!$B$2,Assumptions!$B$91,Assumptions!$B$92,Assumptions!$B$93)</f>
        <v>0.1</v>
      </c>
      <c r="I19" s="45">
        <f>Assumptions!I35*CHOOSE(Assumptions!$B$2,Assumptions!$B$91,Assumptions!$B$92,Assumptions!$B$93)</f>
        <v>7.0000000000000007E-2</v>
      </c>
      <c r="J19" s="45">
        <f>Assumptions!J35*CHOOSE(Assumptions!$B$2,Assumptions!$B$91,Assumptions!$B$92,Assumptions!$B$93)</f>
        <v>7.0000000000000007E-2</v>
      </c>
      <c r="K19" s="45">
        <f>Assumptions!K35*CHOOSE(Assumptions!$B$2,Assumptions!$B$91,Assumptions!$B$92,Assumptions!$B$93)</f>
        <v>7.0000000000000007E-2</v>
      </c>
      <c r="L19" s="45">
        <f>Assumptions!L35*CHOOSE(Assumptions!$B$2,Assumptions!$B$91,Assumptions!$B$92,Assumptions!$B$93)</f>
        <v>7.0000000000000007E-2</v>
      </c>
      <c r="M19" s="45">
        <f>Assumptions!M35*CHOOSE(Assumptions!$B$2,Assumptions!$B$91,Assumptions!$B$92,Assumptions!$B$93)</f>
        <v>7.0000000000000007E-2</v>
      </c>
      <c r="N19" s="45">
        <f>Assumptions!N35*CHOOSE(Assumptions!$B$2,Assumptions!$B$91,Assumptions!$B$92,Assumptions!$B$93)</f>
        <v>7.0000000000000007E-2</v>
      </c>
      <c r="O19" s="45">
        <f>Assumptions!O35*CHOOSE(Assumptions!$B$2,Assumptions!$B$91,Assumptions!$B$92,Assumptions!$B$93)</f>
        <v>0.05</v>
      </c>
      <c r="P19" s="45">
        <f>Assumptions!P35*CHOOSE(Assumptions!$B$2,Assumptions!$B$91,Assumptions!$B$92,Assumptions!$B$93)</f>
        <v>7.0000000000000007E-2</v>
      </c>
      <c r="Q19" s="45">
        <f>Assumptions!Q35*CHOOSE(Assumptions!$B$2,Assumptions!$B$91,Assumptions!$B$92,Assumptions!$B$93)</f>
        <v>7.0000000000000007E-2</v>
      </c>
      <c r="R19" s="45">
        <f>Assumptions!R35*CHOOSE(Assumptions!$B$2,Assumptions!$B$91,Assumptions!$B$92,Assumptions!$B$93)</f>
        <v>0.05</v>
      </c>
      <c r="S19" s="45">
        <f>Assumptions!S35*CHOOSE(Assumptions!$B$2,Assumptions!$B$91,Assumptions!$B$92,Assumptions!$B$93)</f>
        <v>0.05</v>
      </c>
      <c r="T19" s="45">
        <f>Assumptions!T35*CHOOSE(Assumptions!$B$2,Assumptions!$B$91,Assumptions!$B$92,Assumptions!$B$93)</f>
        <v>0.05</v>
      </c>
      <c r="U19" s="45">
        <f>Assumptions!U35*CHOOSE(Assumptions!$B$2,Assumptions!$B$91,Assumptions!$B$92,Assumptions!$B$93)</f>
        <v>0.05</v>
      </c>
      <c r="V19" s="45">
        <f>Assumptions!V35*CHOOSE(Assumptions!$B$2,Assumptions!$B$91,Assumptions!$B$92,Assumptions!$B$93)</f>
        <v>0.05</v>
      </c>
      <c r="W19" s="45">
        <f>Assumptions!W35*CHOOSE(Assumptions!$B$2,Assumptions!$B$91,Assumptions!$B$92,Assumptions!$B$93)</f>
        <v>0.05</v>
      </c>
      <c r="X19" s="45">
        <f>Assumptions!X35*CHOOSE(Assumptions!$B$2,Assumptions!$B$91,Assumptions!$B$92,Assumptions!$B$93)</f>
        <v>0.05</v>
      </c>
      <c r="Y19" s="45">
        <f>Assumptions!Y35*CHOOSE(Assumptions!$B$2,Assumptions!$B$91,Assumptions!$B$92,Assumptions!$B$93)</f>
        <v>0.05</v>
      </c>
      <c r="Z19" s="45">
        <f>Assumptions!Z35*CHOOSE(Assumptions!$B$2,Assumptions!$B$91,Assumptions!$B$92,Assumptions!$B$93)</f>
        <v>0.05</v>
      </c>
      <c r="AA19" s="45">
        <f>Assumptions!AA35*CHOOSE(Assumptions!$B$2,Assumptions!$B$91,Assumptions!$B$92,Assumptions!$B$93)</f>
        <v>0.05</v>
      </c>
      <c r="AB19" s="45">
        <f>Assumptions!AB35*CHOOSE(Assumptions!$B$2,Assumptions!$B$91,Assumptions!$B$92,Assumptions!$B$93)</f>
        <v>7.0000000000000007E-2</v>
      </c>
      <c r="AC19" s="45">
        <f>Assumptions!AC35*CHOOSE(Assumptions!$B$2,Assumptions!$B$91,Assumptions!$B$92,Assumptions!$B$93)</f>
        <v>7.0000000000000007E-2</v>
      </c>
      <c r="AD19" s="45">
        <f>Assumptions!AD35*CHOOSE(Assumptions!$B$2,Assumptions!$B$91,Assumptions!$B$92,Assumptions!$B$93)</f>
        <v>0.05</v>
      </c>
      <c r="AE19" s="45">
        <f>Assumptions!AE35*CHOOSE(Assumptions!$B$2,Assumptions!$B$91,Assumptions!$B$92,Assumptions!$B$93)</f>
        <v>0.05</v>
      </c>
      <c r="AF19" s="45">
        <f>Assumptions!AF35*CHOOSE(Assumptions!$B$2,Assumptions!$B$91,Assumptions!$B$92,Assumptions!$B$93)</f>
        <v>0.05</v>
      </c>
      <c r="AG19" s="45">
        <f>Assumptions!AG35*CHOOSE(Assumptions!$B$2,Assumptions!$B$91,Assumptions!$B$92,Assumptions!$B$93)</f>
        <v>0.05</v>
      </c>
      <c r="AH19" s="45">
        <f>Assumptions!AH35*CHOOSE(Assumptions!$B$2,Assumptions!$B$91,Assumptions!$B$92,Assumptions!$B$93)</f>
        <v>0.05</v>
      </c>
      <c r="AI19" s="45">
        <f>Assumptions!AI35*CHOOSE(Assumptions!$B$2,Assumptions!$B$91,Assumptions!$B$92,Assumptions!$B$93)</f>
        <v>0.05</v>
      </c>
      <c r="AJ19" s="45">
        <f>Assumptions!AJ35*CHOOSE(Assumptions!$B$2,Assumptions!$B$91,Assumptions!$B$92,Assumptions!$B$93)</f>
        <v>0.05</v>
      </c>
      <c r="AK19" s="45">
        <f>Assumptions!AK35*CHOOSE(Assumptions!$B$2,Assumptions!$B$91,Assumptions!$B$92,Assumptions!$B$93)</f>
        <v>0.05</v>
      </c>
      <c r="AL19" s="45">
        <f>Assumptions!AL35*CHOOSE(Assumptions!$B$2,Assumptions!$B$91,Assumptions!$B$92,Assumptions!$B$93)</f>
        <v>0.05</v>
      </c>
    </row>
    <row r="20" spans="1:38" x14ac:dyDescent="0.2">
      <c r="A20" s="40" t="s">
        <v>82</v>
      </c>
      <c r="B20" s="2"/>
      <c r="C20" s="48">
        <v>0</v>
      </c>
      <c r="D20" s="48">
        <f>ROUND(C30*D19,0)</f>
        <v>0</v>
      </c>
      <c r="E20" s="48">
        <f t="shared" ref="E20:AL20" si="7">ROUND(D30*E19,0)</f>
        <v>0</v>
      </c>
      <c r="F20" s="48">
        <f t="shared" si="7"/>
        <v>1</v>
      </c>
      <c r="G20" s="48">
        <f t="shared" si="7"/>
        <v>6</v>
      </c>
      <c r="H20" s="48">
        <f t="shared" si="7"/>
        <v>8</v>
      </c>
      <c r="I20" s="48">
        <f t="shared" si="7"/>
        <v>7</v>
      </c>
      <c r="J20" s="48">
        <f t="shared" si="7"/>
        <v>9</v>
      </c>
      <c r="K20" s="48">
        <f t="shared" si="7"/>
        <v>11</v>
      </c>
      <c r="L20" s="48">
        <f t="shared" si="7"/>
        <v>14</v>
      </c>
      <c r="M20" s="48">
        <f t="shared" si="7"/>
        <v>17</v>
      </c>
      <c r="N20" s="48">
        <f t="shared" si="7"/>
        <v>21</v>
      </c>
      <c r="O20" s="48">
        <f t="shared" si="7"/>
        <v>18</v>
      </c>
      <c r="P20" s="48">
        <f t="shared" si="7"/>
        <v>34</v>
      </c>
      <c r="Q20" s="48">
        <f t="shared" si="7"/>
        <v>42</v>
      </c>
      <c r="R20" s="48">
        <f t="shared" si="7"/>
        <v>36</v>
      </c>
      <c r="S20" s="48">
        <f t="shared" si="7"/>
        <v>43</v>
      </c>
      <c r="T20" s="48">
        <f t="shared" si="7"/>
        <v>52</v>
      </c>
      <c r="U20" s="48">
        <f t="shared" si="7"/>
        <v>61</v>
      </c>
      <c r="V20" s="48">
        <f t="shared" si="7"/>
        <v>71</v>
      </c>
      <c r="W20" s="48">
        <f t="shared" si="7"/>
        <v>77</v>
      </c>
      <c r="X20" s="48">
        <f t="shared" si="7"/>
        <v>83</v>
      </c>
      <c r="Y20" s="48">
        <f t="shared" si="7"/>
        <v>90</v>
      </c>
      <c r="Z20" s="48">
        <f t="shared" si="7"/>
        <v>97</v>
      </c>
      <c r="AA20" s="48">
        <f t="shared" si="7"/>
        <v>105</v>
      </c>
      <c r="AB20" s="48">
        <f t="shared" si="7"/>
        <v>159</v>
      </c>
      <c r="AC20" s="48">
        <f t="shared" si="7"/>
        <v>169</v>
      </c>
      <c r="AD20" s="48">
        <f t="shared" si="7"/>
        <v>128</v>
      </c>
      <c r="AE20" s="48">
        <f t="shared" si="7"/>
        <v>139</v>
      </c>
      <c r="AF20" s="48">
        <f t="shared" si="7"/>
        <v>150</v>
      </c>
      <c r="AG20" s="48">
        <f t="shared" si="7"/>
        <v>162</v>
      </c>
      <c r="AH20" s="48">
        <f t="shared" si="7"/>
        <v>175</v>
      </c>
      <c r="AI20" s="48">
        <f t="shared" si="7"/>
        <v>189</v>
      </c>
      <c r="AJ20" s="48">
        <f t="shared" si="7"/>
        <v>204</v>
      </c>
      <c r="AK20" s="48">
        <f t="shared" si="7"/>
        <v>221</v>
      </c>
      <c r="AL20" s="48">
        <f t="shared" si="7"/>
        <v>239</v>
      </c>
    </row>
    <row r="21" spans="1:38" x14ac:dyDescent="0.2">
      <c r="A21" s="59" t="s">
        <v>372</v>
      </c>
      <c r="B21" s="60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</row>
    <row r="22" spans="1:38" x14ac:dyDescent="0.2">
      <c r="A22" s="40" t="s">
        <v>83</v>
      </c>
      <c r="B22" s="2"/>
      <c r="C22" s="48">
        <v>0</v>
      </c>
      <c r="D22" s="48">
        <f>C23</f>
        <v>8</v>
      </c>
      <c r="E22" s="48">
        <f t="shared" ref="E22:AL22" si="8">D23</f>
        <v>20.134999999999998</v>
      </c>
      <c r="F22" s="48">
        <f t="shared" si="8"/>
        <v>37.558224999999993</v>
      </c>
      <c r="G22" s="48">
        <f t="shared" si="8"/>
        <v>72.808825624999997</v>
      </c>
      <c r="H22" s="48">
        <f t="shared" si="8"/>
        <v>95.715811390624992</v>
      </c>
      <c r="I22" s="48">
        <f t="shared" si="8"/>
        <v>117.74870549974217</v>
      </c>
      <c r="J22" s="48">
        <f t="shared" si="8"/>
        <v>147.99894918869111</v>
      </c>
      <c r="K22" s="48">
        <f t="shared" si="8"/>
        <v>183.26373639940107</v>
      </c>
      <c r="L22" s="48">
        <f t="shared" si="8"/>
        <v>232.42307708926631</v>
      </c>
      <c r="M22" s="48">
        <f t="shared" si="8"/>
        <v>287.84326943435121</v>
      </c>
      <c r="N22" s="48">
        <f t="shared" si="8"/>
        <v>350.93300505708027</v>
      </c>
      <c r="O22" s="48">
        <f t="shared" si="8"/>
        <v>416.78653414940959</v>
      </c>
      <c r="P22" s="48">
        <f t="shared" si="8"/>
        <v>513.38850433302673</v>
      </c>
      <c r="Q22" s="48">
        <f t="shared" si="8"/>
        <v>624.05091780795772</v>
      </c>
      <c r="R22" s="48">
        <f t="shared" si="8"/>
        <v>750.48737431474819</v>
      </c>
      <c r="S22" s="48">
        <f t="shared" si="8"/>
        <v>909.79703353556647</v>
      </c>
      <c r="T22" s="48">
        <f t="shared" si="8"/>
        <v>1096.3763660810689</v>
      </c>
      <c r="U22" s="48">
        <f t="shared" si="8"/>
        <v>1294.377467507215</v>
      </c>
      <c r="V22" s="48">
        <f t="shared" si="8"/>
        <v>1501.2942060736436</v>
      </c>
      <c r="W22" s="48">
        <f t="shared" si="8"/>
        <v>1622.8439238935855</v>
      </c>
      <c r="X22" s="48">
        <f t="shared" si="8"/>
        <v>1753.9928536192197</v>
      </c>
      <c r="Y22" s="48">
        <f t="shared" si="8"/>
        <v>1895.9018888578144</v>
      </c>
      <c r="Z22" s="48">
        <f t="shared" si="8"/>
        <v>2049.0236438536194</v>
      </c>
      <c r="AA22" s="48">
        <f t="shared" si="8"/>
        <v>2214.871835773858</v>
      </c>
      <c r="AB22" s="48">
        <f t="shared" si="8"/>
        <v>2393.8945336033285</v>
      </c>
      <c r="AC22" s="48">
        <f t="shared" si="8"/>
        <v>2541.8702956397779</v>
      </c>
      <c r="AD22" s="48">
        <f t="shared" si="8"/>
        <v>2698.877785551148</v>
      </c>
      <c r="AE22" s="48">
        <f t="shared" si="8"/>
        <v>2917.0012866005527</v>
      </c>
      <c r="AF22" s="48">
        <f t="shared" si="8"/>
        <v>3152.0864602916272</v>
      </c>
      <c r="AG22" s="48">
        <f t="shared" si="8"/>
        <v>3406.2881324309969</v>
      </c>
      <c r="AH22" s="48">
        <f t="shared" si="8"/>
        <v>3681.1870303091819</v>
      </c>
      <c r="AI22" s="48">
        <f t="shared" si="8"/>
        <v>3978.3072794009213</v>
      </c>
      <c r="AJ22" s="48">
        <f t="shared" si="8"/>
        <v>4299.5137621200456</v>
      </c>
      <c r="AK22" s="48">
        <f t="shared" si="8"/>
        <v>4646.9231200062522</v>
      </c>
      <c r="AL22" s="48">
        <f t="shared" si="8"/>
        <v>5021.9377412070962</v>
      </c>
    </row>
    <row r="23" spans="1:38" x14ac:dyDescent="0.2">
      <c r="A23" s="93" t="s">
        <v>84</v>
      </c>
      <c r="B23" s="94"/>
      <c r="C23" s="95">
        <f>C22+C17-C20</f>
        <v>8</v>
      </c>
      <c r="D23" s="95">
        <f>D22+D17-D20</f>
        <v>20.134999999999998</v>
      </c>
      <c r="E23" s="95">
        <f t="shared" ref="E23:AL23" si="9">E22+E17-E20</f>
        <v>37.558224999999993</v>
      </c>
      <c r="F23" s="95">
        <f t="shared" si="9"/>
        <v>72.808825624999997</v>
      </c>
      <c r="G23" s="95">
        <f t="shared" si="9"/>
        <v>95.715811390624992</v>
      </c>
      <c r="H23" s="95">
        <f t="shared" si="9"/>
        <v>117.74870549974217</v>
      </c>
      <c r="I23" s="95">
        <f t="shared" si="9"/>
        <v>147.99894918869111</v>
      </c>
      <c r="J23" s="95">
        <f t="shared" si="9"/>
        <v>183.26373639940107</v>
      </c>
      <c r="K23" s="95">
        <f t="shared" si="9"/>
        <v>232.42307708926631</v>
      </c>
      <c r="L23" s="95">
        <f t="shared" si="9"/>
        <v>287.84326943435121</v>
      </c>
      <c r="M23" s="95">
        <f t="shared" si="9"/>
        <v>350.93300505708027</v>
      </c>
      <c r="N23" s="95">
        <f t="shared" si="9"/>
        <v>416.78653414940959</v>
      </c>
      <c r="O23" s="95">
        <f t="shared" si="9"/>
        <v>513.38850433302673</v>
      </c>
      <c r="P23" s="95">
        <f t="shared" si="9"/>
        <v>624.05091780795772</v>
      </c>
      <c r="Q23" s="95">
        <f t="shared" si="9"/>
        <v>750.48737431474819</v>
      </c>
      <c r="R23" s="95">
        <f t="shared" si="9"/>
        <v>909.79703353556647</v>
      </c>
      <c r="S23" s="95">
        <f t="shared" si="9"/>
        <v>1096.3763660810689</v>
      </c>
      <c r="T23" s="95">
        <f t="shared" si="9"/>
        <v>1294.377467507215</v>
      </c>
      <c r="U23" s="95">
        <f t="shared" si="9"/>
        <v>1501.2942060736436</v>
      </c>
      <c r="V23" s="95">
        <f t="shared" si="9"/>
        <v>1622.8439238935855</v>
      </c>
      <c r="W23" s="95">
        <f t="shared" si="9"/>
        <v>1753.9928536192197</v>
      </c>
      <c r="X23" s="95">
        <f t="shared" si="9"/>
        <v>1895.9018888578144</v>
      </c>
      <c r="Y23" s="95">
        <f t="shared" si="9"/>
        <v>2049.0236438536194</v>
      </c>
      <c r="Z23" s="95">
        <f t="shared" si="9"/>
        <v>2214.871835773858</v>
      </c>
      <c r="AA23" s="95">
        <f t="shared" si="9"/>
        <v>2393.8945336033285</v>
      </c>
      <c r="AB23" s="95">
        <f t="shared" si="9"/>
        <v>2541.8702956397779</v>
      </c>
      <c r="AC23" s="95">
        <f t="shared" si="9"/>
        <v>2698.877785551148</v>
      </c>
      <c r="AD23" s="95">
        <f t="shared" si="9"/>
        <v>2917.0012866005527</v>
      </c>
      <c r="AE23" s="95">
        <f t="shared" si="9"/>
        <v>3152.0864602916272</v>
      </c>
      <c r="AF23" s="95">
        <f t="shared" si="9"/>
        <v>3406.2881324309969</v>
      </c>
      <c r="AG23" s="95">
        <f t="shared" si="9"/>
        <v>3681.1870303091819</v>
      </c>
      <c r="AH23" s="95">
        <f t="shared" si="9"/>
        <v>3978.3072794009213</v>
      </c>
      <c r="AI23" s="95">
        <f t="shared" si="9"/>
        <v>4299.5137621200456</v>
      </c>
      <c r="AJ23" s="95">
        <f t="shared" si="9"/>
        <v>4646.9231200062522</v>
      </c>
      <c r="AK23" s="95">
        <f t="shared" si="9"/>
        <v>5021.9377412070962</v>
      </c>
      <c r="AL23" s="95">
        <f t="shared" si="9"/>
        <v>5427.0143362700537</v>
      </c>
    </row>
    <row r="24" spans="1:38" x14ac:dyDescent="0.2">
      <c r="A24" s="40" t="s">
        <v>85</v>
      </c>
      <c r="B24" s="2"/>
      <c r="C24" s="48">
        <f>C23-C22</f>
        <v>8</v>
      </c>
      <c r="D24" s="48">
        <f t="shared" ref="D24:AL24" si="10">D23-D22</f>
        <v>12.134999999999998</v>
      </c>
      <c r="E24" s="48">
        <f t="shared" si="10"/>
        <v>17.423224999999995</v>
      </c>
      <c r="F24" s="48">
        <f t="shared" si="10"/>
        <v>35.250600625000004</v>
      </c>
      <c r="G24" s="48">
        <f t="shared" si="10"/>
        <v>22.906985765624995</v>
      </c>
      <c r="H24" s="48">
        <f t="shared" si="10"/>
        <v>22.03289410911718</v>
      </c>
      <c r="I24" s="48">
        <f t="shared" si="10"/>
        <v>30.250243688948942</v>
      </c>
      <c r="J24" s="48">
        <f t="shared" si="10"/>
        <v>35.264787210709954</v>
      </c>
      <c r="K24" s="48">
        <f t="shared" si="10"/>
        <v>49.159340689865246</v>
      </c>
      <c r="L24" s="48">
        <f t="shared" si="10"/>
        <v>55.420192345084899</v>
      </c>
      <c r="M24" s="48">
        <f t="shared" si="10"/>
        <v>63.089735622729052</v>
      </c>
      <c r="N24" s="48">
        <f t="shared" si="10"/>
        <v>65.853529092329325</v>
      </c>
      <c r="O24" s="48">
        <f t="shared" si="10"/>
        <v>96.601970183617141</v>
      </c>
      <c r="P24" s="48">
        <f t="shared" si="10"/>
        <v>110.66241347493099</v>
      </c>
      <c r="Q24" s="48">
        <f t="shared" si="10"/>
        <v>126.43645650679048</v>
      </c>
      <c r="R24" s="48">
        <f t="shared" si="10"/>
        <v>159.30965922081828</v>
      </c>
      <c r="S24" s="48">
        <f t="shared" si="10"/>
        <v>186.57933254550244</v>
      </c>
      <c r="T24" s="48">
        <f t="shared" si="10"/>
        <v>198.00110142614608</v>
      </c>
      <c r="U24" s="48">
        <f t="shared" si="10"/>
        <v>206.91673856642865</v>
      </c>
      <c r="V24" s="48">
        <f t="shared" si="10"/>
        <v>121.54971781994186</v>
      </c>
      <c r="W24" s="48">
        <f t="shared" si="10"/>
        <v>131.14892972563416</v>
      </c>
      <c r="X24" s="48">
        <f t="shared" si="10"/>
        <v>141.9090352385947</v>
      </c>
      <c r="Y24" s="48">
        <f t="shared" si="10"/>
        <v>153.12175499580508</v>
      </c>
      <c r="Z24" s="48">
        <f t="shared" si="10"/>
        <v>165.84819192023861</v>
      </c>
      <c r="AA24" s="48">
        <f t="shared" si="10"/>
        <v>179.02269782947042</v>
      </c>
      <c r="AB24" s="48">
        <f t="shared" si="10"/>
        <v>147.9757620364494</v>
      </c>
      <c r="AC24" s="48">
        <f t="shared" si="10"/>
        <v>157.00748991137016</v>
      </c>
      <c r="AD24" s="48">
        <f t="shared" si="10"/>
        <v>218.12350104940469</v>
      </c>
      <c r="AE24" s="48">
        <f t="shared" si="10"/>
        <v>235.08517369107449</v>
      </c>
      <c r="AF24" s="48">
        <f t="shared" si="10"/>
        <v>254.20167213936975</v>
      </c>
      <c r="AG24" s="48">
        <f t="shared" si="10"/>
        <v>274.89889787818493</v>
      </c>
      <c r="AH24" s="48">
        <f t="shared" si="10"/>
        <v>297.12024909173942</v>
      </c>
      <c r="AI24" s="48">
        <f t="shared" si="10"/>
        <v>321.20648271912432</v>
      </c>
      <c r="AJ24" s="48">
        <f t="shared" si="10"/>
        <v>347.40935788620664</v>
      </c>
      <c r="AK24" s="48">
        <f t="shared" si="10"/>
        <v>375.01462120084398</v>
      </c>
      <c r="AL24" s="48">
        <f t="shared" si="10"/>
        <v>405.07659506295749</v>
      </c>
    </row>
    <row r="25" spans="1:38" x14ac:dyDescent="0.2">
      <c r="A25" s="59" t="s">
        <v>373</v>
      </c>
      <c r="B25" s="60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</row>
    <row r="26" spans="1:38" x14ac:dyDescent="0.2">
      <c r="A26" s="40" t="s">
        <v>86</v>
      </c>
      <c r="B26" s="2"/>
      <c r="C26" s="48">
        <f>ROUND(C23*Assumptions!C29,0)</f>
        <v>7</v>
      </c>
      <c r="D26" s="48">
        <f>ROUND(D23*Assumptions!D29,0)</f>
        <v>17</v>
      </c>
      <c r="E26" s="48">
        <f>ROUND(E23*Assumptions!E29,0)</f>
        <v>32</v>
      </c>
      <c r="F26" s="48">
        <f>ROUND(F23*Assumptions!F29,0)</f>
        <v>11</v>
      </c>
      <c r="G26" s="48">
        <f>ROUND(G23*Assumptions!G29,0)</f>
        <v>14</v>
      </c>
      <c r="H26" s="48">
        <f>ROUND(H23*Assumptions!H29,0)</f>
        <v>18</v>
      </c>
      <c r="I26" s="48">
        <f>ROUND(I23*Assumptions!I29,0)</f>
        <v>22</v>
      </c>
      <c r="J26" s="48">
        <f>ROUND(J23*Assumptions!J29,0)</f>
        <v>27</v>
      </c>
      <c r="K26" s="48">
        <f>ROUND(K23*Assumptions!K29,0)</f>
        <v>35</v>
      </c>
      <c r="L26" s="48">
        <f>ROUND(L23*Assumptions!L29,0)</f>
        <v>43</v>
      </c>
      <c r="M26" s="48">
        <f>ROUND(M23*Assumptions!M29,0)</f>
        <v>53</v>
      </c>
      <c r="N26" s="48">
        <f>ROUND(N23*Assumptions!N29,0)</f>
        <v>63</v>
      </c>
      <c r="O26" s="48">
        <f>ROUND(O23*Assumptions!O29,0)</f>
        <v>26</v>
      </c>
      <c r="P26" s="48">
        <f>ROUND(P23*Assumptions!P29,0)</f>
        <v>31</v>
      </c>
      <c r="Q26" s="48">
        <f>ROUND(Q23*Assumptions!Q29,0)</f>
        <v>38</v>
      </c>
      <c r="R26" s="48">
        <f>ROUND(R23*Assumptions!R29,0)</f>
        <v>45</v>
      </c>
      <c r="S26" s="48">
        <f>ROUND(S23*Assumptions!S29,0)</f>
        <v>55</v>
      </c>
      <c r="T26" s="48">
        <f>ROUND(T23*Assumptions!T29,0)</f>
        <v>65</v>
      </c>
      <c r="U26" s="48">
        <f>ROUND(U23*Assumptions!U29,0)</f>
        <v>75</v>
      </c>
      <c r="V26" s="48">
        <f>ROUND(V23*Assumptions!V29,0)</f>
        <v>81</v>
      </c>
      <c r="W26" s="48">
        <f>ROUND(W23*Assumptions!W29,0)</f>
        <v>88</v>
      </c>
      <c r="X26" s="48">
        <f>ROUND(X23*Assumptions!X29,0)</f>
        <v>95</v>
      </c>
      <c r="Y26" s="48">
        <f>ROUND(Y23*Assumptions!Y29,0)</f>
        <v>102</v>
      </c>
      <c r="Z26" s="48">
        <f>ROUND(Z23*Assumptions!Z29,0)</f>
        <v>111</v>
      </c>
      <c r="AA26" s="48">
        <f>ROUND(AA23*Assumptions!AA29,0)</f>
        <v>120</v>
      </c>
      <c r="AB26" s="48">
        <f>ROUND(AB23*Assumptions!AB29,0)</f>
        <v>127</v>
      </c>
      <c r="AC26" s="48">
        <f>ROUND(AC23*Assumptions!AC29,0)</f>
        <v>135</v>
      </c>
      <c r="AD26" s="48">
        <f>ROUND(AD23*Assumptions!AD29,0)</f>
        <v>146</v>
      </c>
      <c r="AE26" s="48">
        <f>ROUND(AE23*Assumptions!AE29,0)</f>
        <v>158</v>
      </c>
      <c r="AF26" s="48">
        <f>ROUND(AF23*Assumptions!AF29,0)</f>
        <v>170</v>
      </c>
      <c r="AG26" s="48">
        <f>ROUND(AG23*Assumptions!AG29,0)</f>
        <v>184</v>
      </c>
      <c r="AH26" s="48">
        <f>ROUND(AH23*Assumptions!AH29,0)</f>
        <v>199</v>
      </c>
      <c r="AI26" s="48">
        <f>ROUND(AI23*Assumptions!AI29,0)</f>
        <v>215</v>
      </c>
      <c r="AJ26" s="48">
        <f>ROUND(AJ23*Assumptions!AJ29,0)</f>
        <v>232</v>
      </c>
      <c r="AK26" s="48">
        <f>ROUND(AK23*Assumptions!AK29,0)</f>
        <v>251</v>
      </c>
      <c r="AL26" s="48">
        <f>ROUND(AL23*Assumptions!AL29,0)</f>
        <v>271</v>
      </c>
    </row>
    <row r="27" spans="1:38" x14ac:dyDescent="0.2">
      <c r="A27" s="40" t="s">
        <v>87</v>
      </c>
      <c r="B27" s="2"/>
      <c r="C27" s="48">
        <f>ROUND(C23*Assumptions!C30,0)</f>
        <v>0</v>
      </c>
      <c r="D27" s="48">
        <f>ROUND(D23*Assumptions!D30,0)</f>
        <v>1</v>
      </c>
      <c r="E27" s="48">
        <f>ROUND(E23*Assumptions!E30,0)</f>
        <v>2</v>
      </c>
      <c r="F27" s="48">
        <f>ROUND(F23*Assumptions!F30,0)</f>
        <v>18</v>
      </c>
      <c r="G27" s="48">
        <f>ROUND(G23*Assumptions!G30,0)</f>
        <v>24</v>
      </c>
      <c r="H27" s="48">
        <f>ROUND(H23*Assumptions!H30,0)</f>
        <v>29</v>
      </c>
      <c r="I27" s="48">
        <f>ROUND(I23*Assumptions!I30,0)</f>
        <v>37</v>
      </c>
      <c r="J27" s="48">
        <f>ROUND(J23*Assumptions!J30,0)</f>
        <v>46</v>
      </c>
      <c r="K27" s="48">
        <f>ROUND(K23*Assumptions!K30,0)</f>
        <v>58</v>
      </c>
      <c r="L27" s="48">
        <f>ROUND(L23*Assumptions!L30,0)</f>
        <v>72</v>
      </c>
      <c r="M27" s="48">
        <f>ROUND(M23*Assumptions!M30,0)</f>
        <v>88</v>
      </c>
      <c r="N27" s="48">
        <f>ROUND(N23*Assumptions!N30,0)</f>
        <v>104</v>
      </c>
      <c r="O27" s="48">
        <f>ROUND(O23*Assumptions!O30,0)</f>
        <v>128</v>
      </c>
      <c r="P27" s="48">
        <f>ROUND(P23*Assumptions!P30,0)</f>
        <v>156</v>
      </c>
      <c r="Q27" s="48">
        <f>ROUND(Q23*Assumptions!Q30,0)</f>
        <v>188</v>
      </c>
      <c r="R27" s="48">
        <f>ROUND(R23*Assumptions!R30,0)</f>
        <v>227</v>
      </c>
      <c r="S27" s="48">
        <f>ROUND(S23*Assumptions!S30,0)</f>
        <v>274</v>
      </c>
      <c r="T27" s="48">
        <f>ROUND(T23*Assumptions!T30,0)</f>
        <v>324</v>
      </c>
      <c r="U27" s="48">
        <f>ROUND(U23*Assumptions!U30,0)</f>
        <v>375</v>
      </c>
      <c r="V27" s="48">
        <f>ROUND(V23*Assumptions!V30,0)</f>
        <v>406</v>
      </c>
      <c r="W27" s="48">
        <f>ROUND(W23*Assumptions!W30,0)</f>
        <v>438</v>
      </c>
      <c r="X27" s="48">
        <f>ROUND(X23*Assumptions!X30,0)</f>
        <v>474</v>
      </c>
      <c r="Y27" s="48">
        <f>ROUND(Y23*Assumptions!Y30,0)</f>
        <v>512</v>
      </c>
      <c r="Z27" s="48">
        <f>ROUND(Z23*Assumptions!Z30,0)</f>
        <v>554</v>
      </c>
      <c r="AA27" s="48">
        <f>ROUND(AA23*Assumptions!AA30,0)</f>
        <v>598</v>
      </c>
      <c r="AB27" s="48">
        <f>ROUND(AB23*Assumptions!AB30,0)</f>
        <v>635</v>
      </c>
      <c r="AC27" s="48">
        <f>ROUND(AC23*Assumptions!AC30,0)</f>
        <v>675</v>
      </c>
      <c r="AD27" s="48">
        <f>ROUND(AD23*Assumptions!AD30,0)</f>
        <v>729</v>
      </c>
      <c r="AE27" s="48">
        <f>ROUND(AE23*Assumptions!AE30,0)</f>
        <v>788</v>
      </c>
      <c r="AF27" s="48">
        <f>ROUND(AF23*Assumptions!AF30,0)</f>
        <v>852</v>
      </c>
      <c r="AG27" s="48">
        <f>ROUND(AG23*Assumptions!AG30,0)</f>
        <v>920</v>
      </c>
      <c r="AH27" s="48">
        <f>ROUND(AH23*Assumptions!AH30,0)</f>
        <v>995</v>
      </c>
      <c r="AI27" s="48">
        <f>ROUND(AI23*Assumptions!AI30,0)</f>
        <v>1075</v>
      </c>
      <c r="AJ27" s="48">
        <f>ROUND(AJ23*Assumptions!AJ30,0)</f>
        <v>1162</v>
      </c>
      <c r="AK27" s="48">
        <f>ROUND(AK23*Assumptions!AK30,0)</f>
        <v>1255</v>
      </c>
      <c r="AL27" s="48">
        <f>ROUND(AL23*Assumptions!AL30,0)</f>
        <v>1357</v>
      </c>
    </row>
    <row r="28" spans="1:38" x14ac:dyDescent="0.2">
      <c r="A28" s="40" t="s">
        <v>88</v>
      </c>
      <c r="B28" s="2"/>
      <c r="C28" s="48">
        <f>ROUND(C23*Assumptions!C31,0)</f>
        <v>0</v>
      </c>
      <c r="D28" s="48">
        <f>ROUND(D23*Assumptions!D31,0)</f>
        <v>1</v>
      </c>
      <c r="E28" s="48">
        <f>ROUND(E23*Assumptions!E31,0)</f>
        <v>2</v>
      </c>
      <c r="F28" s="48">
        <f>ROUND(F23*Assumptions!F31,0)</f>
        <v>29</v>
      </c>
      <c r="G28" s="48">
        <f>ROUND(G23*Assumptions!G31,0)</f>
        <v>38</v>
      </c>
      <c r="H28" s="48">
        <f>ROUND(H23*Assumptions!H31,0)</f>
        <v>47</v>
      </c>
      <c r="I28" s="48">
        <f>ROUND(I23*Assumptions!I31,0)</f>
        <v>59</v>
      </c>
      <c r="J28" s="48">
        <f>ROUND(J23*Assumptions!J31,0)</f>
        <v>73</v>
      </c>
      <c r="K28" s="48">
        <f>ROUND(K23*Assumptions!K31,0)</f>
        <v>93</v>
      </c>
      <c r="L28" s="48">
        <f>ROUND(L23*Assumptions!L31,0)</f>
        <v>115</v>
      </c>
      <c r="M28" s="48">
        <f>ROUND(M23*Assumptions!M31,0)</f>
        <v>140</v>
      </c>
      <c r="N28" s="48">
        <f>ROUND(N23*Assumptions!N31,0)</f>
        <v>167</v>
      </c>
      <c r="O28" s="48">
        <f>ROUND(O23*Assumptions!O31,0)</f>
        <v>231</v>
      </c>
      <c r="P28" s="48">
        <f>ROUND(P23*Assumptions!P31,0)</f>
        <v>281</v>
      </c>
      <c r="Q28" s="48">
        <f>ROUND(Q23*Assumptions!Q31,0)</f>
        <v>338</v>
      </c>
      <c r="R28" s="48">
        <f>ROUND(R23*Assumptions!R31,0)</f>
        <v>409</v>
      </c>
      <c r="S28" s="48">
        <f>ROUND(S23*Assumptions!S31,0)</f>
        <v>493</v>
      </c>
      <c r="T28" s="48">
        <f>ROUND(T23*Assumptions!T31,0)</f>
        <v>582</v>
      </c>
      <c r="U28" s="48">
        <f>ROUND(U23*Assumptions!U31,0)</f>
        <v>676</v>
      </c>
      <c r="V28" s="48">
        <f>ROUND(V23*Assumptions!V31,0)</f>
        <v>730</v>
      </c>
      <c r="W28" s="48">
        <f>ROUND(W23*Assumptions!W31,0)</f>
        <v>789</v>
      </c>
      <c r="X28" s="48">
        <f>ROUND(X23*Assumptions!X31,0)</f>
        <v>853</v>
      </c>
      <c r="Y28" s="48">
        <f>ROUND(Y23*Assumptions!Y31,0)</f>
        <v>922</v>
      </c>
      <c r="Z28" s="48">
        <f>ROUND(Z23*Assumptions!Z31,0)</f>
        <v>997</v>
      </c>
      <c r="AA28" s="48">
        <f>ROUND(AA23*Assumptions!AA31,0)</f>
        <v>1077</v>
      </c>
      <c r="AB28" s="48">
        <f>ROUND(AB23*Assumptions!AB31,0)</f>
        <v>1144</v>
      </c>
      <c r="AC28" s="48">
        <f>ROUND(AC23*Assumptions!AC31,0)</f>
        <v>1214</v>
      </c>
      <c r="AD28" s="48">
        <f>ROUND(AD23*Assumptions!AD31,0)</f>
        <v>1313</v>
      </c>
      <c r="AE28" s="48">
        <f>ROUND(AE23*Assumptions!AE31,0)</f>
        <v>1418</v>
      </c>
      <c r="AF28" s="48">
        <f>ROUND(AF23*Assumptions!AF31,0)</f>
        <v>1533</v>
      </c>
      <c r="AG28" s="48">
        <f>ROUND(AG23*Assumptions!AG31,0)</f>
        <v>1657</v>
      </c>
      <c r="AH28" s="48">
        <f>ROUND(AH23*Assumptions!AH31,0)</f>
        <v>1790</v>
      </c>
      <c r="AI28" s="48">
        <f>ROUND(AI23*Assumptions!AI31,0)</f>
        <v>1935</v>
      </c>
      <c r="AJ28" s="48">
        <f>ROUND(AJ23*Assumptions!AJ31,0)</f>
        <v>2091</v>
      </c>
      <c r="AK28" s="48">
        <f>ROUND(AK23*Assumptions!AK31,0)</f>
        <v>2260</v>
      </c>
      <c r="AL28" s="48">
        <f>ROUND(AL23*Assumptions!AL31,0)</f>
        <v>2442</v>
      </c>
    </row>
    <row r="29" spans="1:38" x14ac:dyDescent="0.2">
      <c r="A29" s="40" t="s">
        <v>89</v>
      </c>
      <c r="B29" s="2"/>
      <c r="C29" s="48">
        <f>C23-C26-C27-C28</f>
        <v>1</v>
      </c>
      <c r="D29" s="48">
        <f t="shared" ref="D29:AL29" si="11">D23-D26-D27-D28</f>
        <v>1.134999999999998</v>
      </c>
      <c r="E29" s="48">
        <f t="shared" si="11"/>
        <v>1.5582249999999931</v>
      </c>
      <c r="F29" s="48">
        <f t="shared" si="11"/>
        <v>14.808825624999997</v>
      </c>
      <c r="G29" s="48">
        <f t="shared" si="11"/>
        <v>19.715811390624992</v>
      </c>
      <c r="H29" s="48">
        <f t="shared" si="11"/>
        <v>23.748705499742172</v>
      </c>
      <c r="I29" s="48">
        <f t="shared" si="11"/>
        <v>29.998949188691114</v>
      </c>
      <c r="J29" s="48">
        <f t="shared" si="11"/>
        <v>37.263736399401068</v>
      </c>
      <c r="K29" s="48">
        <f t="shared" si="11"/>
        <v>46.423077089266314</v>
      </c>
      <c r="L29" s="48">
        <f t="shared" si="11"/>
        <v>57.843269434351214</v>
      </c>
      <c r="M29" s="48">
        <f t="shared" si="11"/>
        <v>69.933005057080265</v>
      </c>
      <c r="N29" s="48">
        <f t="shared" si="11"/>
        <v>82.78653414940959</v>
      </c>
      <c r="O29" s="48">
        <f t="shared" si="11"/>
        <v>128.38850433302673</v>
      </c>
      <c r="P29" s="48">
        <f t="shared" si="11"/>
        <v>156.05091780795772</v>
      </c>
      <c r="Q29" s="48">
        <f t="shared" si="11"/>
        <v>186.48737431474819</v>
      </c>
      <c r="R29" s="48">
        <f t="shared" si="11"/>
        <v>228.79703353556647</v>
      </c>
      <c r="S29" s="48">
        <f t="shared" si="11"/>
        <v>274.37636608106891</v>
      </c>
      <c r="T29" s="48">
        <f t="shared" si="11"/>
        <v>323.37746750721499</v>
      </c>
      <c r="U29" s="48">
        <f t="shared" si="11"/>
        <v>375.29420607364364</v>
      </c>
      <c r="V29" s="48">
        <f t="shared" si="11"/>
        <v>405.8439238935855</v>
      </c>
      <c r="W29" s="48">
        <f t="shared" si="11"/>
        <v>438.99285361921966</v>
      </c>
      <c r="X29" s="48">
        <f t="shared" si="11"/>
        <v>473.90188885781436</v>
      </c>
      <c r="Y29" s="48">
        <f t="shared" si="11"/>
        <v>513.02364385361943</v>
      </c>
      <c r="Z29" s="48">
        <f t="shared" si="11"/>
        <v>552.87183577385804</v>
      </c>
      <c r="AA29" s="48">
        <f t="shared" si="11"/>
        <v>598.89453360332845</v>
      </c>
      <c r="AB29" s="48">
        <f t="shared" si="11"/>
        <v>635.87029563977785</v>
      </c>
      <c r="AC29" s="48">
        <f t="shared" si="11"/>
        <v>674.87778555114801</v>
      </c>
      <c r="AD29" s="48">
        <f t="shared" si="11"/>
        <v>729.0012866005527</v>
      </c>
      <c r="AE29" s="48">
        <f t="shared" si="11"/>
        <v>788.08646029162719</v>
      </c>
      <c r="AF29" s="48">
        <f t="shared" si="11"/>
        <v>851.28813243099694</v>
      </c>
      <c r="AG29" s="48">
        <f t="shared" si="11"/>
        <v>920.18703030918186</v>
      </c>
      <c r="AH29" s="48">
        <f t="shared" si="11"/>
        <v>994.30727940092129</v>
      </c>
      <c r="AI29" s="48">
        <f t="shared" si="11"/>
        <v>1074.5137621200456</v>
      </c>
      <c r="AJ29" s="48">
        <f t="shared" si="11"/>
        <v>1161.9231200062522</v>
      </c>
      <c r="AK29" s="48">
        <f t="shared" si="11"/>
        <v>1255.9377412070962</v>
      </c>
      <c r="AL29" s="48">
        <f t="shared" si="11"/>
        <v>1357.0143362700537</v>
      </c>
    </row>
    <row r="30" spans="1:38" x14ac:dyDescent="0.2">
      <c r="A30" s="93" t="s">
        <v>90</v>
      </c>
      <c r="B30" s="94"/>
      <c r="C30" s="95">
        <f>C27+C28+C29</f>
        <v>1</v>
      </c>
      <c r="D30" s="95">
        <f t="shared" ref="D30:AL30" si="12">D27+D28+D29</f>
        <v>3.134999999999998</v>
      </c>
      <c r="E30" s="95">
        <f t="shared" si="12"/>
        <v>5.5582249999999931</v>
      </c>
      <c r="F30" s="95">
        <f t="shared" si="12"/>
        <v>61.808825624999997</v>
      </c>
      <c r="G30" s="95">
        <f t="shared" si="12"/>
        <v>81.715811390624992</v>
      </c>
      <c r="H30" s="95">
        <f t="shared" si="12"/>
        <v>99.748705499742172</v>
      </c>
      <c r="I30" s="95">
        <f t="shared" si="12"/>
        <v>125.99894918869111</v>
      </c>
      <c r="J30" s="95">
        <f t="shared" si="12"/>
        <v>156.26373639940107</v>
      </c>
      <c r="K30" s="95">
        <f t="shared" si="12"/>
        <v>197.42307708926631</v>
      </c>
      <c r="L30" s="95">
        <f t="shared" si="12"/>
        <v>244.84326943435121</v>
      </c>
      <c r="M30" s="95">
        <f t="shared" si="12"/>
        <v>297.93300505708027</v>
      </c>
      <c r="N30" s="95">
        <f t="shared" si="12"/>
        <v>353.78653414940959</v>
      </c>
      <c r="O30" s="95">
        <f t="shared" si="12"/>
        <v>487.38850433302673</v>
      </c>
      <c r="P30" s="95">
        <f t="shared" si="12"/>
        <v>593.05091780795772</v>
      </c>
      <c r="Q30" s="95">
        <f t="shared" si="12"/>
        <v>712.48737431474819</v>
      </c>
      <c r="R30" s="95">
        <f t="shared" si="12"/>
        <v>864.79703353556647</v>
      </c>
      <c r="S30" s="95">
        <f t="shared" si="12"/>
        <v>1041.3763660810689</v>
      </c>
      <c r="T30" s="95">
        <f t="shared" si="12"/>
        <v>1229.377467507215</v>
      </c>
      <c r="U30" s="95">
        <f t="shared" si="12"/>
        <v>1426.2942060736436</v>
      </c>
      <c r="V30" s="95">
        <f t="shared" si="12"/>
        <v>1541.8439238935855</v>
      </c>
      <c r="W30" s="95">
        <f t="shared" si="12"/>
        <v>1665.9928536192197</v>
      </c>
      <c r="X30" s="95">
        <f t="shared" si="12"/>
        <v>1800.9018888578144</v>
      </c>
      <c r="Y30" s="95">
        <f t="shared" si="12"/>
        <v>1947.0236438536194</v>
      </c>
      <c r="Z30" s="95">
        <f t="shared" si="12"/>
        <v>2103.871835773858</v>
      </c>
      <c r="AA30" s="95">
        <f t="shared" si="12"/>
        <v>2273.8945336033285</v>
      </c>
      <c r="AB30" s="95">
        <f t="shared" si="12"/>
        <v>2414.8702956397779</v>
      </c>
      <c r="AC30" s="95">
        <f t="shared" si="12"/>
        <v>2563.877785551148</v>
      </c>
      <c r="AD30" s="95">
        <f t="shared" si="12"/>
        <v>2771.0012866005527</v>
      </c>
      <c r="AE30" s="95">
        <f t="shared" si="12"/>
        <v>2994.0864602916272</v>
      </c>
      <c r="AF30" s="95">
        <f t="shared" si="12"/>
        <v>3236.2881324309969</v>
      </c>
      <c r="AG30" s="95">
        <f t="shared" si="12"/>
        <v>3497.1870303091819</v>
      </c>
      <c r="AH30" s="95">
        <f t="shared" si="12"/>
        <v>3779.3072794009213</v>
      </c>
      <c r="AI30" s="95">
        <f t="shared" si="12"/>
        <v>4084.5137621200456</v>
      </c>
      <c r="AJ30" s="95">
        <f t="shared" si="12"/>
        <v>4414.9231200062522</v>
      </c>
      <c r="AK30" s="95">
        <f t="shared" si="12"/>
        <v>4770.9377412070962</v>
      </c>
      <c r="AL30" s="95">
        <f t="shared" si="12"/>
        <v>5156.0143362700537</v>
      </c>
    </row>
    <row r="31" spans="1:38" x14ac:dyDescent="0.2">
      <c r="A31" s="40" t="s">
        <v>91</v>
      </c>
      <c r="B31" s="2"/>
      <c r="C31" s="48">
        <f>C26+C30</f>
        <v>8</v>
      </c>
      <c r="D31" s="48">
        <f t="shared" ref="D31:AL31" si="13">D26+D30</f>
        <v>20.134999999999998</v>
      </c>
      <c r="E31" s="48">
        <f t="shared" si="13"/>
        <v>37.558224999999993</v>
      </c>
      <c r="F31" s="48">
        <f t="shared" si="13"/>
        <v>72.808825624999997</v>
      </c>
      <c r="G31" s="48">
        <f t="shared" si="13"/>
        <v>95.715811390624992</v>
      </c>
      <c r="H31" s="48">
        <f t="shared" si="13"/>
        <v>117.74870549974217</v>
      </c>
      <c r="I31" s="48">
        <f t="shared" si="13"/>
        <v>147.99894918869111</v>
      </c>
      <c r="J31" s="48">
        <f t="shared" si="13"/>
        <v>183.26373639940107</v>
      </c>
      <c r="K31" s="48">
        <f t="shared" si="13"/>
        <v>232.42307708926631</v>
      </c>
      <c r="L31" s="48">
        <f t="shared" si="13"/>
        <v>287.84326943435121</v>
      </c>
      <c r="M31" s="48">
        <f t="shared" si="13"/>
        <v>350.93300505708027</v>
      </c>
      <c r="N31" s="48">
        <f t="shared" si="13"/>
        <v>416.78653414940959</v>
      </c>
      <c r="O31" s="48">
        <f t="shared" si="13"/>
        <v>513.38850433302673</v>
      </c>
      <c r="P31" s="48">
        <f t="shared" si="13"/>
        <v>624.05091780795772</v>
      </c>
      <c r="Q31" s="48">
        <f t="shared" si="13"/>
        <v>750.48737431474819</v>
      </c>
      <c r="R31" s="48">
        <f t="shared" si="13"/>
        <v>909.79703353556647</v>
      </c>
      <c r="S31" s="48">
        <f t="shared" si="13"/>
        <v>1096.3763660810689</v>
      </c>
      <c r="T31" s="48">
        <f t="shared" si="13"/>
        <v>1294.377467507215</v>
      </c>
      <c r="U31" s="48">
        <f t="shared" si="13"/>
        <v>1501.2942060736436</v>
      </c>
      <c r="V31" s="48">
        <f t="shared" si="13"/>
        <v>1622.8439238935855</v>
      </c>
      <c r="W31" s="48">
        <f t="shared" si="13"/>
        <v>1753.9928536192197</v>
      </c>
      <c r="X31" s="48">
        <f t="shared" si="13"/>
        <v>1895.9018888578144</v>
      </c>
      <c r="Y31" s="48">
        <f t="shared" si="13"/>
        <v>2049.0236438536194</v>
      </c>
      <c r="Z31" s="48">
        <f t="shared" si="13"/>
        <v>2214.871835773858</v>
      </c>
      <c r="AA31" s="48">
        <f t="shared" si="13"/>
        <v>2393.8945336033285</v>
      </c>
      <c r="AB31" s="48">
        <f t="shared" si="13"/>
        <v>2541.8702956397779</v>
      </c>
      <c r="AC31" s="48">
        <f t="shared" si="13"/>
        <v>2698.877785551148</v>
      </c>
      <c r="AD31" s="48">
        <f t="shared" si="13"/>
        <v>2917.0012866005527</v>
      </c>
      <c r="AE31" s="48">
        <f t="shared" si="13"/>
        <v>3152.0864602916272</v>
      </c>
      <c r="AF31" s="48">
        <f t="shared" si="13"/>
        <v>3406.2881324309969</v>
      </c>
      <c r="AG31" s="48">
        <f t="shared" si="13"/>
        <v>3681.1870303091819</v>
      </c>
      <c r="AH31" s="48">
        <f t="shared" si="13"/>
        <v>3978.3072794009213</v>
      </c>
      <c r="AI31" s="48">
        <f t="shared" si="13"/>
        <v>4299.5137621200456</v>
      </c>
      <c r="AJ31" s="48">
        <f t="shared" si="13"/>
        <v>4646.9231200062522</v>
      </c>
      <c r="AK31" s="48">
        <f t="shared" si="13"/>
        <v>5021.9377412070962</v>
      </c>
      <c r="AL31" s="48">
        <f t="shared" si="13"/>
        <v>5427.0143362700537</v>
      </c>
    </row>
    <row r="32" spans="1:38" x14ac:dyDescent="0.2">
      <c r="A32" s="59" t="s">
        <v>374</v>
      </c>
      <c r="B32" s="60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</row>
    <row r="33" spans="1:38" x14ac:dyDescent="0.2">
      <c r="A33" s="40" t="s">
        <v>92</v>
      </c>
      <c r="B33" s="2"/>
      <c r="C33" s="50">
        <f>C27*Assumptions!$B$11</f>
        <v>0</v>
      </c>
      <c r="D33" s="50">
        <f>D27*Assumptions!$B$11</f>
        <v>15</v>
      </c>
      <c r="E33" s="50">
        <f>E27*Assumptions!$B$11</f>
        <v>30</v>
      </c>
      <c r="F33" s="50">
        <f>F27*Assumptions!$B$11</f>
        <v>270</v>
      </c>
      <c r="G33" s="50">
        <f>G27*Assumptions!$B$11</f>
        <v>360</v>
      </c>
      <c r="H33" s="50">
        <f>H27*Assumptions!$B$11</f>
        <v>435</v>
      </c>
      <c r="I33" s="50">
        <f>I27*Assumptions!$B$11</f>
        <v>555</v>
      </c>
      <c r="J33" s="50">
        <f>J27*Assumptions!$B$11</f>
        <v>690</v>
      </c>
      <c r="K33" s="50">
        <f>K27*Assumptions!$B$11</f>
        <v>870</v>
      </c>
      <c r="L33" s="50">
        <f>L27*Assumptions!$B$11</f>
        <v>1080</v>
      </c>
      <c r="M33" s="50">
        <f>M27*Assumptions!$B$11</f>
        <v>1320</v>
      </c>
      <c r="N33" s="50">
        <f>N27*Assumptions!$B$11</f>
        <v>1560</v>
      </c>
      <c r="O33" s="50">
        <f>O27*Assumptions!$B$11</f>
        <v>1920</v>
      </c>
      <c r="P33" s="50">
        <f>P27*Assumptions!$B$11</f>
        <v>2340</v>
      </c>
      <c r="Q33" s="50">
        <f>Q27*Assumptions!$B$11</f>
        <v>2820</v>
      </c>
      <c r="R33" s="50">
        <f>R27*Assumptions!$B$11</f>
        <v>3405</v>
      </c>
      <c r="S33" s="50">
        <f>S27*Assumptions!$B$11</f>
        <v>4110</v>
      </c>
      <c r="T33" s="50">
        <f>T27*Assumptions!$B$11</f>
        <v>4860</v>
      </c>
      <c r="U33" s="50">
        <f>U27*Assumptions!$B$11</f>
        <v>5625</v>
      </c>
      <c r="V33" s="50">
        <f>V27*Assumptions!$B$11</f>
        <v>6090</v>
      </c>
      <c r="W33" s="50">
        <f>W27*Assumptions!$B$11</f>
        <v>6570</v>
      </c>
      <c r="X33" s="50">
        <f>X27*Assumptions!$B$11</f>
        <v>7110</v>
      </c>
      <c r="Y33" s="50">
        <f>Y27*Assumptions!$B$11</f>
        <v>7680</v>
      </c>
      <c r="Z33" s="50">
        <f>Z27*Assumptions!$B$11</f>
        <v>8310</v>
      </c>
      <c r="AA33" s="50">
        <f>AA27*Assumptions!$B$11</f>
        <v>8970</v>
      </c>
      <c r="AB33" s="50">
        <f>AB27*Assumptions!$B$11</f>
        <v>9525</v>
      </c>
      <c r="AC33" s="50">
        <f>AC27*Assumptions!$B$11</f>
        <v>10125</v>
      </c>
      <c r="AD33" s="50">
        <f>AD27*Assumptions!$B$11</f>
        <v>10935</v>
      </c>
      <c r="AE33" s="50">
        <f>AE27*Assumptions!$B$11</f>
        <v>11820</v>
      </c>
      <c r="AF33" s="50">
        <f>AF27*Assumptions!$B$11</f>
        <v>12780</v>
      </c>
      <c r="AG33" s="50">
        <f>AG27*Assumptions!$B$11</f>
        <v>13800</v>
      </c>
      <c r="AH33" s="50">
        <f>AH27*Assumptions!$B$11</f>
        <v>14925</v>
      </c>
      <c r="AI33" s="50">
        <f>AI27*Assumptions!$B$11</f>
        <v>16125</v>
      </c>
      <c r="AJ33" s="50">
        <f>AJ27*Assumptions!$B$11</f>
        <v>17430</v>
      </c>
      <c r="AK33" s="50">
        <f>AK27*Assumptions!$B$11</f>
        <v>18825</v>
      </c>
      <c r="AL33" s="50">
        <f>AL27*Assumptions!$B$11</f>
        <v>20355</v>
      </c>
    </row>
    <row r="34" spans="1:38" x14ac:dyDescent="0.2">
      <c r="A34" s="40" t="s">
        <v>93</v>
      </c>
      <c r="B34" s="2"/>
      <c r="C34" s="50">
        <f>C28*Assumptions!$B$12</f>
        <v>0</v>
      </c>
      <c r="D34" s="50">
        <f>D28*Assumptions!$B$12</f>
        <v>35</v>
      </c>
      <c r="E34" s="50">
        <f>E28*Assumptions!$B$12</f>
        <v>70</v>
      </c>
      <c r="F34" s="50">
        <f>F28*Assumptions!$B$12</f>
        <v>1015</v>
      </c>
      <c r="G34" s="50">
        <f>G28*Assumptions!$B$12</f>
        <v>1330</v>
      </c>
      <c r="H34" s="50">
        <f>H28*Assumptions!$B$12</f>
        <v>1645</v>
      </c>
      <c r="I34" s="50">
        <f>I28*Assumptions!$B$12</f>
        <v>2065</v>
      </c>
      <c r="J34" s="50">
        <f>J28*Assumptions!$B$12</f>
        <v>2555</v>
      </c>
      <c r="K34" s="50">
        <f>K28*Assumptions!$B$12</f>
        <v>3255</v>
      </c>
      <c r="L34" s="50">
        <f>L28*Assumptions!$B$12</f>
        <v>4025</v>
      </c>
      <c r="M34" s="50">
        <f>M28*Assumptions!$B$12</f>
        <v>4900</v>
      </c>
      <c r="N34" s="50">
        <f>N28*Assumptions!$B$12</f>
        <v>5845</v>
      </c>
      <c r="O34" s="50">
        <f>O28*Assumptions!$B$12</f>
        <v>8085</v>
      </c>
      <c r="P34" s="50">
        <f>P28*Assumptions!$B$12</f>
        <v>9835</v>
      </c>
      <c r="Q34" s="50">
        <f>Q28*Assumptions!$B$12</f>
        <v>11830</v>
      </c>
      <c r="R34" s="50">
        <f>R28*Assumptions!$B$12</f>
        <v>14315</v>
      </c>
      <c r="S34" s="50">
        <f>S28*Assumptions!$B$12</f>
        <v>17255</v>
      </c>
      <c r="T34" s="50">
        <f>T28*Assumptions!$B$12</f>
        <v>20370</v>
      </c>
      <c r="U34" s="50">
        <f>U28*Assumptions!$B$12</f>
        <v>23660</v>
      </c>
      <c r="V34" s="50">
        <f>V28*Assumptions!$B$12</f>
        <v>25550</v>
      </c>
      <c r="W34" s="50">
        <f>W28*Assumptions!$B$12</f>
        <v>27615</v>
      </c>
      <c r="X34" s="50">
        <f>X28*Assumptions!$B$12</f>
        <v>29855</v>
      </c>
      <c r="Y34" s="50">
        <f>Y28*Assumptions!$B$12</f>
        <v>32270</v>
      </c>
      <c r="Z34" s="50">
        <f>Z28*Assumptions!$B$12</f>
        <v>34895</v>
      </c>
      <c r="AA34" s="50">
        <f>AA28*Assumptions!$B$12</f>
        <v>37695</v>
      </c>
      <c r="AB34" s="50">
        <f>AB28*Assumptions!$B$12</f>
        <v>40040</v>
      </c>
      <c r="AC34" s="50">
        <f>AC28*Assumptions!$B$12</f>
        <v>42490</v>
      </c>
      <c r="AD34" s="50">
        <f>AD28*Assumptions!$B$12</f>
        <v>45955</v>
      </c>
      <c r="AE34" s="50">
        <f>AE28*Assumptions!$B$12</f>
        <v>49630</v>
      </c>
      <c r="AF34" s="50">
        <f>AF28*Assumptions!$B$12</f>
        <v>53655</v>
      </c>
      <c r="AG34" s="50">
        <f>AG28*Assumptions!$B$12</f>
        <v>57995</v>
      </c>
      <c r="AH34" s="50">
        <f>AH28*Assumptions!$B$12</f>
        <v>62650</v>
      </c>
      <c r="AI34" s="50">
        <f>AI28*Assumptions!$B$12</f>
        <v>67725</v>
      </c>
      <c r="AJ34" s="50">
        <f>AJ28*Assumptions!$B$12</f>
        <v>73185</v>
      </c>
      <c r="AK34" s="50">
        <f>AK28*Assumptions!$B$12</f>
        <v>79100</v>
      </c>
      <c r="AL34" s="50">
        <f>AL28*Assumptions!$B$12</f>
        <v>85470</v>
      </c>
    </row>
    <row r="35" spans="1:38" x14ac:dyDescent="0.2">
      <c r="A35" s="40" t="s">
        <v>94</v>
      </c>
      <c r="B35" s="2"/>
      <c r="C35" s="50">
        <f>C29*Assumptions!$B$13</f>
        <v>69</v>
      </c>
      <c r="D35" s="50">
        <f>D29*Assumptions!$B$13</f>
        <v>78.314999999999856</v>
      </c>
      <c r="E35" s="50">
        <f>E29*Assumptions!$B$13</f>
        <v>107.51752499999952</v>
      </c>
      <c r="F35" s="50">
        <f>F29*Assumptions!$B$13</f>
        <v>1021.8089681249999</v>
      </c>
      <c r="G35" s="50">
        <f>G29*Assumptions!$B$13</f>
        <v>1360.3909859531245</v>
      </c>
      <c r="H35" s="50">
        <f>H29*Assumptions!$B$13</f>
        <v>1638.6606794822098</v>
      </c>
      <c r="I35" s="50">
        <f>I29*Assumptions!$B$13</f>
        <v>2069.9274940196869</v>
      </c>
      <c r="J35" s="50">
        <f>J29*Assumptions!$B$13</f>
        <v>2571.1978115586735</v>
      </c>
      <c r="K35" s="50">
        <f>K29*Assumptions!$B$13</f>
        <v>3203.1923191593755</v>
      </c>
      <c r="L35" s="50">
        <f>L29*Assumptions!$B$13</f>
        <v>3991.1855909702335</v>
      </c>
      <c r="M35" s="50">
        <f>M29*Assumptions!$B$13</f>
        <v>4825.3773489385385</v>
      </c>
      <c r="N35" s="50">
        <f>N29*Assumptions!$B$13</f>
        <v>5712.2708563092619</v>
      </c>
      <c r="O35" s="50">
        <f>O29*Assumptions!$B$13</f>
        <v>8858.8067989788451</v>
      </c>
      <c r="P35" s="50">
        <f>P29*Assumptions!$B$13</f>
        <v>10767.513328749083</v>
      </c>
      <c r="Q35" s="50">
        <f>Q29*Assumptions!$B$13</f>
        <v>12867.628827717625</v>
      </c>
      <c r="R35" s="50">
        <f>R29*Assumptions!$B$13</f>
        <v>15786.995313954087</v>
      </c>
      <c r="S35" s="50">
        <f>S29*Assumptions!$B$13</f>
        <v>18931.969259593756</v>
      </c>
      <c r="T35" s="50">
        <f>T29*Assumptions!$B$13</f>
        <v>22313.045257997834</v>
      </c>
      <c r="U35" s="50">
        <f>U29*Assumptions!$B$13</f>
        <v>25895.300219081411</v>
      </c>
      <c r="V35" s="50">
        <f>V29*Assumptions!$B$13</f>
        <v>28003.230748657399</v>
      </c>
      <c r="W35" s="50">
        <f>W29*Assumptions!$B$13</f>
        <v>30290.506899726155</v>
      </c>
      <c r="X35" s="50">
        <f>X29*Assumptions!$B$13</f>
        <v>32699.230331189192</v>
      </c>
      <c r="Y35" s="50">
        <f>Y29*Assumptions!$B$13</f>
        <v>35398.631425899744</v>
      </c>
      <c r="Z35" s="50">
        <f>Z29*Assumptions!$B$13</f>
        <v>38148.156668396201</v>
      </c>
      <c r="AA35" s="50">
        <f>AA29*Assumptions!$B$13</f>
        <v>41323.722818629663</v>
      </c>
      <c r="AB35" s="50">
        <f>AB29*Assumptions!$B$13</f>
        <v>43875.050399144675</v>
      </c>
      <c r="AC35" s="50">
        <f>AC29*Assumptions!$B$13</f>
        <v>46566.567203029212</v>
      </c>
      <c r="AD35" s="50">
        <f>AD29*Assumptions!$B$13</f>
        <v>50301.08877543814</v>
      </c>
      <c r="AE35" s="50">
        <f>AE29*Assumptions!$B$13</f>
        <v>54377.965760122279</v>
      </c>
      <c r="AF35" s="50">
        <f>AF29*Assumptions!$B$13</f>
        <v>58738.88113773879</v>
      </c>
      <c r="AG35" s="50">
        <f>AG29*Assumptions!$B$13</f>
        <v>63492.905091333552</v>
      </c>
      <c r="AH35" s="50">
        <f>AH29*Assumptions!$B$13</f>
        <v>68607.202278663564</v>
      </c>
      <c r="AI35" s="50">
        <f>AI29*Assumptions!$B$13</f>
        <v>74141.449586283154</v>
      </c>
      <c r="AJ35" s="50">
        <f>AJ29*Assumptions!$B$13</f>
        <v>80172.695280431406</v>
      </c>
      <c r="AK35" s="50">
        <f>AK29*Assumptions!$B$13</f>
        <v>86659.704143289637</v>
      </c>
      <c r="AL35" s="50">
        <f>AL29*Assumptions!$B$13</f>
        <v>93633.989202633704</v>
      </c>
    </row>
    <row r="36" spans="1:38" x14ac:dyDescent="0.2">
      <c r="A36" s="40" t="s">
        <v>95</v>
      </c>
      <c r="B36" s="2"/>
      <c r="C36" s="50">
        <f>C30*Assumptions!$B$14</f>
        <v>0</v>
      </c>
      <c r="D36" s="50">
        <f>D30*Assumptions!$B$14</f>
        <v>0</v>
      </c>
      <c r="E36" s="50">
        <f>E30*Assumptions!$B$14</f>
        <v>0</v>
      </c>
      <c r="F36" s="50">
        <f>F30*Assumptions!$B$14</f>
        <v>0</v>
      </c>
      <c r="G36" s="50">
        <f>G30*Assumptions!$B$14</f>
        <v>0</v>
      </c>
      <c r="H36" s="50">
        <f>H30*Assumptions!$B$14</f>
        <v>0</v>
      </c>
      <c r="I36" s="50">
        <f>I30*Assumptions!$B$14</f>
        <v>0</v>
      </c>
      <c r="J36" s="50">
        <f>J30*Assumptions!$B$14</f>
        <v>0</v>
      </c>
      <c r="K36" s="50">
        <f>K30*Assumptions!$B$14</f>
        <v>0</v>
      </c>
      <c r="L36" s="50">
        <f>L30*Assumptions!$B$14</f>
        <v>0</v>
      </c>
      <c r="M36" s="50">
        <f>M30*Assumptions!$B$14</f>
        <v>0</v>
      </c>
      <c r="N36" s="50">
        <f>N30*Assumptions!$B$14</f>
        <v>0</v>
      </c>
      <c r="O36" s="50">
        <f>O30*Assumptions!$B$14</f>
        <v>0</v>
      </c>
      <c r="P36" s="50">
        <f>P30*Assumptions!$B$14</f>
        <v>0</v>
      </c>
      <c r="Q36" s="50">
        <f>Q30*Assumptions!$B$14</f>
        <v>0</v>
      </c>
      <c r="R36" s="50">
        <f>R30*Assumptions!$B$14</f>
        <v>0</v>
      </c>
      <c r="S36" s="50">
        <f>S30*Assumptions!$B$14</f>
        <v>0</v>
      </c>
      <c r="T36" s="50">
        <f>T30*Assumptions!$B$14</f>
        <v>0</v>
      </c>
      <c r="U36" s="50">
        <f>U30*Assumptions!$B$14</f>
        <v>0</v>
      </c>
      <c r="V36" s="50">
        <f>V30*Assumptions!$B$14</f>
        <v>0</v>
      </c>
      <c r="W36" s="50">
        <f>W30*Assumptions!$B$14</f>
        <v>0</v>
      </c>
      <c r="X36" s="50">
        <f>X30*Assumptions!$B$14</f>
        <v>0</v>
      </c>
      <c r="Y36" s="50">
        <f>Y30*Assumptions!$B$14</f>
        <v>0</v>
      </c>
      <c r="Z36" s="50">
        <f>Z30*Assumptions!$B$14</f>
        <v>0</v>
      </c>
      <c r="AA36" s="50">
        <f>AA30*Assumptions!$B$14</f>
        <v>0</v>
      </c>
      <c r="AB36" s="50">
        <f>AB30*Assumptions!$B$14</f>
        <v>0</v>
      </c>
      <c r="AC36" s="50">
        <f>AC30*Assumptions!$B$14</f>
        <v>0</v>
      </c>
      <c r="AD36" s="50">
        <f>AD30*Assumptions!$B$14</f>
        <v>0</v>
      </c>
      <c r="AE36" s="50">
        <f>AE30*Assumptions!$B$14</f>
        <v>0</v>
      </c>
      <c r="AF36" s="50">
        <f>AF30*Assumptions!$B$14</f>
        <v>0</v>
      </c>
      <c r="AG36" s="50">
        <f>AG30*Assumptions!$B$14</f>
        <v>0</v>
      </c>
      <c r="AH36" s="50">
        <f>AH30*Assumptions!$B$14</f>
        <v>0</v>
      </c>
      <c r="AI36" s="50">
        <f>AI30*Assumptions!$B$14</f>
        <v>0</v>
      </c>
      <c r="AJ36" s="50">
        <f>AJ30*Assumptions!$B$14</f>
        <v>0</v>
      </c>
      <c r="AK36" s="50">
        <f>AK30*Assumptions!$B$14</f>
        <v>0</v>
      </c>
      <c r="AL36" s="50">
        <f>AL30*Assumptions!$B$14</f>
        <v>0</v>
      </c>
    </row>
    <row r="37" spans="1:38" x14ac:dyDescent="0.2">
      <c r="A37" s="93" t="s">
        <v>96</v>
      </c>
      <c r="B37" s="94"/>
      <c r="C37" s="96">
        <f>C33+C34+C35+C36</f>
        <v>69</v>
      </c>
      <c r="D37" s="96">
        <f t="shared" ref="D37:AL37" si="14">D33+D34+D35+D36</f>
        <v>128.31499999999986</v>
      </c>
      <c r="E37" s="96">
        <f t="shared" si="14"/>
        <v>207.51752499999952</v>
      </c>
      <c r="F37" s="96">
        <f t="shared" si="14"/>
        <v>2306.8089681249999</v>
      </c>
      <c r="G37" s="96">
        <f t="shared" si="14"/>
        <v>3050.3909859531245</v>
      </c>
      <c r="H37" s="96">
        <f t="shared" si="14"/>
        <v>3718.6606794822101</v>
      </c>
      <c r="I37" s="96">
        <f t="shared" si="14"/>
        <v>4689.9274940196865</v>
      </c>
      <c r="J37" s="96">
        <f t="shared" si="14"/>
        <v>5816.1978115586735</v>
      </c>
      <c r="K37" s="96">
        <f t="shared" si="14"/>
        <v>7328.192319159376</v>
      </c>
      <c r="L37" s="96">
        <f t="shared" si="14"/>
        <v>9096.1855909702335</v>
      </c>
      <c r="M37" s="96">
        <f t="shared" si="14"/>
        <v>11045.377348938538</v>
      </c>
      <c r="N37" s="96">
        <f t="shared" si="14"/>
        <v>13117.270856309262</v>
      </c>
      <c r="O37" s="96">
        <f t="shared" si="14"/>
        <v>18863.806798978847</v>
      </c>
      <c r="P37" s="96">
        <f t="shared" si="14"/>
        <v>22942.513328749083</v>
      </c>
      <c r="Q37" s="96">
        <f t="shared" si="14"/>
        <v>27517.628827717625</v>
      </c>
      <c r="R37" s="96">
        <f t="shared" si="14"/>
        <v>33506.995313954088</v>
      </c>
      <c r="S37" s="96">
        <f t="shared" si="14"/>
        <v>40296.969259593752</v>
      </c>
      <c r="T37" s="96">
        <f t="shared" si="14"/>
        <v>47543.04525799783</v>
      </c>
      <c r="U37" s="96">
        <f t="shared" si="14"/>
        <v>55180.300219081415</v>
      </c>
      <c r="V37" s="96">
        <f t="shared" si="14"/>
        <v>59643.230748657399</v>
      </c>
      <c r="W37" s="96">
        <f t="shared" si="14"/>
        <v>64475.506899726155</v>
      </c>
      <c r="X37" s="96">
        <f t="shared" si="14"/>
        <v>69664.230331189188</v>
      </c>
      <c r="Y37" s="96">
        <f t="shared" si="14"/>
        <v>75348.631425899744</v>
      </c>
      <c r="Z37" s="96">
        <f t="shared" si="14"/>
        <v>81353.156668396201</v>
      </c>
      <c r="AA37" s="96">
        <f t="shared" si="14"/>
        <v>87988.722818629671</v>
      </c>
      <c r="AB37" s="96">
        <f t="shared" si="14"/>
        <v>93440.050399144675</v>
      </c>
      <c r="AC37" s="96">
        <f t="shared" si="14"/>
        <v>99181.567203029204</v>
      </c>
      <c r="AD37" s="96">
        <f t="shared" si="14"/>
        <v>107191.08877543814</v>
      </c>
      <c r="AE37" s="96">
        <f t="shared" si="14"/>
        <v>115827.96576012229</v>
      </c>
      <c r="AF37" s="96">
        <f t="shared" si="14"/>
        <v>125173.88113773879</v>
      </c>
      <c r="AG37" s="96">
        <f t="shared" si="14"/>
        <v>135287.90509133355</v>
      </c>
      <c r="AH37" s="96">
        <f t="shared" si="14"/>
        <v>146182.20227866358</v>
      </c>
      <c r="AI37" s="96">
        <f t="shared" si="14"/>
        <v>157991.44958628315</v>
      </c>
      <c r="AJ37" s="96">
        <f t="shared" si="14"/>
        <v>170787.69528043142</v>
      </c>
      <c r="AK37" s="96">
        <f t="shared" si="14"/>
        <v>184584.70414328965</v>
      </c>
      <c r="AL37" s="96">
        <f t="shared" si="14"/>
        <v>199458.9892026337</v>
      </c>
    </row>
    <row r="38" spans="1:38" x14ac:dyDescent="0.2">
      <c r="A38" s="59" t="s">
        <v>375</v>
      </c>
      <c r="B38" s="60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</row>
    <row r="39" spans="1:38" x14ac:dyDescent="0.2">
      <c r="A39" s="40" t="s">
        <v>97</v>
      </c>
      <c r="B39" s="2"/>
      <c r="C39" s="50">
        <f>C37*Assumptions!$B$36</f>
        <v>2.0699999999999998</v>
      </c>
      <c r="D39" s="50">
        <f>D37*Assumptions!$B$36</f>
        <v>3.8494499999999956</v>
      </c>
      <c r="E39" s="50">
        <f>E37*Assumptions!$B$36</f>
        <v>6.2255257499999859</v>
      </c>
      <c r="F39" s="50">
        <f>F37*Assumptions!$B$36</f>
        <v>69.204269043749989</v>
      </c>
      <c r="G39" s="50">
        <f>G37*Assumptions!$B$36</f>
        <v>91.51172957859373</v>
      </c>
      <c r="H39" s="50">
        <f>H37*Assumptions!$B$36</f>
        <v>111.55982038446629</v>
      </c>
      <c r="I39" s="50">
        <f>I37*Assumptions!$B$36</f>
        <v>140.6978248205906</v>
      </c>
      <c r="J39" s="50">
        <f>J37*Assumptions!$B$36</f>
        <v>174.48593434676019</v>
      </c>
      <c r="K39" s="50">
        <f>K37*Assumptions!$B$36</f>
        <v>219.84576957478126</v>
      </c>
      <c r="L39" s="50">
        <f>L37*Assumptions!$B$36</f>
        <v>272.88556772910698</v>
      </c>
      <c r="M39" s="50">
        <f>M37*Assumptions!$B$36</f>
        <v>331.36132046815612</v>
      </c>
      <c r="N39" s="50">
        <f>N37*Assumptions!$B$36</f>
        <v>393.51812568927784</v>
      </c>
      <c r="O39" s="50">
        <f>O37*Assumptions!$B$36</f>
        <v>565.91420396936542</v>
      </c>
      <c r="P39" s="50">
        <f>P37*Assumptions!$B$36</f>
        <v>688.27539986247245</v>
      </c>
      <c r="Q39" s="50">
        <f>Q37*Assumptions!$B$36</f>
        <v>825.52886483152872</v>
      </c>
      <c r="R39" s="50">
        <f>R37*Assumptions!$B$36</f>
        <v>1005.2098594186226</v>
      </c>
      <c r="S39" s="50">
        <f>S37*Assumptions!$B$36</f>
        <v>1208.9090777878125</v>
      </c>
      <c r="T39" s="50">
        <f>T37*Assumptions!$B$36</f>
        <v>1426.2913577399349</v>
      </c>
      <c r="U39" s="50">
        <f>U37*Assumptions!$B$36</f>
        <v>1655.4090065724424</v>
      </c>
      <c r="V39" s="50">
        <f>V37*Assumptions!$B$36</f>
        <v>1789.2969224597218</v>
      </c>
      <c r="W39" s="50">
        <f>W37*Assumptions!$B$36</f>
        <v>1934.2652069917847</v>
      </c>
      <c r="X39" s="50">
        <f>X37*Assumptions!$B$36</f>
        <v>2089.9269099356757</v>
      </c>
      <c r="Y39" s="50">
        <f>Y37*Assumptions!$B$36</f>
        <v>2260.4589427769924</v>
      </c>
      <c r="Z39" s="50">
        <f>Z37*Assumptions!$B$36</f>
        <v>2440.5947000518859</v>
      </c>
      <c r="AA39" s="50">
        <f>AA37*Assumptions!$B$36</f>
        <v>2639.6616845588901</v>
      </c>
      <c r="AB39" s="50">
        <f>AB37*Assumptions!$B$36</f>
        <v>2803.2015119743401</v>
      </c>
      <c r="AC39" s="50">
        <f>AC37*Assumptions!$B$36</f>
        <v>2975.4470160908759</v>
      </c>
      <c r="AD39" s="50">
        <f>AD37*Assumptions!$B$36</f>
        <v>3215.7326632631439</v>
      </c>
      <c r="AE39" s="50">
        <f>AE37*Assumptions!$B$36</f>
        <v>3474.8389728036686</v>
      </c>
      <c r="AF39" s="50">
        <f>AF37*Assumptions!$B$36</f>
        <v>3755.2164341321636</v>
      </c>
      <c r="AG39" s="50">
        <f>AG37*Assumptions!$B$36</f>
        <v>4058.6371527400065</v>
      </c>
      <c r="AH39" s="50">
        <f>AH37*Assumptions!$B$36</f>
        <v>4385.4660683599068</v>
      </c>
      <c r="AI39" s="50">
        <f>AI37*Assumptions!$B$36</f>
        <v>4739.7434875884946</v>
      </c>
      <c r="AJ39" s="50">
        <f>AJ37*Assumptions!$B$36</f>
        <v>5123.6308584129429</v>
      </c>
      <c r="AK39" s="50">
        <f>AK37*Assumptions!$B$36</f>
        <v>5537.5411242986893</v>
      </c>
      <c r="AL39" s="50">
        <f>AL37*Assumptions!$B$36</f>
        <v>5983.7696760790113</v>
      </c>
    </row>
    <row r="40" spans="1:38" x14ac:dyDescent="0.2">
      <c r="A40" s="40" t="s">
        <v>98</v>
      </c>
      <c r="B40" s="2"/>
      <c r="C40" s="50">
        <f>C37-C39</f>
        <v>66.930000000000007</v>
      </c>
      <c r="D40" s="50">
        <f t="shared" ref="D40:AL40" si="15">D37-D39</f>
        <v>124.46554999999987</v>
      </c>
      <c r="E40" s="50">
        <f t="shared" si="15"/>
        <v>201.29199924999955</v>
      </c>
      <c r="F40" s="50">
        <f t="shared" si="15"/>
        <v>2237.6046990812497</v>
      </c>
      <c r="G40" s="50">
        <f t="shared" si="15"/>
        <v>2958.879256374531</v>
      </c>
      <c r="H40" s="50">
        <f t="shared" si="15"/>
        <v>3607.100859097744</v>
      </c>
      <c r="I40" s="50">
        <f t="shared" si="15"/>
        <v>4549.229669199096</v>
      </c>
      <c r="J40" s="50">
        <f t="shared" si="15"/>
        <v>5641.7118772119129</v>
      </c>
      <c r="K40" s="50">
        <f t="shared" si="15"/>
        <v>7108.3465495845949</v>
      </c>
      <c r="L40" s="50">
        <f t="shared" si="15"/>
        <v>8823.3000232411268</v>
      </c>
      <c r="M40" s="50">
        <f t="shared" si="15"/>
        <v>10714.016028470382</v>
      </c>
      <c r="N40" s="50">
        <f t="shared" si="15"/>
        <v>12723.752730619985</v>
      </c>
      <c r="O40" s="50">
        <f t="shared" si="15"/>
        <v>18297.892595009482</v>
      </c>
      <c r="P40" s="50">
        <f t="shared" si="15"/>
        <v>22254.23792888661</v>
      </c>
      <c r="Q40" s="50">
        <f t="shared" si="15"/>
        <v>26692.099962886095</v>
      </c>
      <c r="R40" s="50">
        <f t="shared" si="15"/>
        <v>32501.785454535468</v>
      </c>
      <c r="S40" s="50">
        <f t="shared" si="15"/>
        <v>39088.060181805937</v>
      </c>
      <c r="T40" s="50">
        <f t="shared" si="15"/>
        <v>46116.753900257892</v>
      </c>
      <c r="U40" s="50">
        <f t="shared" si="15"/>
        <v>53524.89121250897</v>
      </c>
      <c r="V40" s="50">
        <f t="shared" si="15"/>
        <v>57853.933826197681</v>
      </c>
      <c r="W40" s="50">
        <f t="shared" si="15"/>
        <v>62541.241692734373</v>
      </c>
      <c r="X40" s="50">
        <f t="shared" si="15"/>
        <v>67574.303421253513</v>
      </c>
      <c r="Y40" s="50">
        <f t="shared" si="15"/>
        <v>73088.172483122748</v>
      </c>
      <c r="Z40" s="50">
        <f t="shared" si="15"/>
        <v>78912.561968344322</v>
      </c>
      <c r="AA40" s="50">
        <f t="shared" si="15"/>
        <v>85349.061134070784</v>
      </c>
      <c r="AB40" s="50">
        <f t="shared" si="15"/>
        <v>90636.84888717033</v>
      </c>
      <c r="AC40" s="50">
        <f t="shared" si="15"/>
        <v>96206.120186938322</v>
      </c>
      <c r="AD40" s="50">
        <f t="shared" si="15"/>
        <v>103975.356112175</v>
      </c>
      <c r="AE40" s="50">
        <f t="shared" si="15"/>
        <v>112353.12678731862</v>
      </c>
      <c r="AF40" s="50">
        <f t="shared" si="15"/>
        <v>121418.66470360663</v>
      </c>
      <c r="AG40" s="50">
        <f t="shared" si="15"/>
        <v>131229.26793859355</v>
      </c>
      <c r="AH40" s="50">
        <f t="shared" si="15"/>
        <v>141796.73621030367</v>
      </c>
      <c r="AI40" s="50">
        <f t="shared" si="15"/>
        <v>153251.70609869465</v>
      </c>
      <c r="AJ40" s="50">
        <f t="shared" si="15"/>
        <v>165664.06442201848</v>
      </c>
      <c r="AK40" s="50">
        <f t="shared" si="15"/>
        <v>179047.16301899095</v>
      </c>
      <c r="AL40" s="50">
        <f t="shared" si="15"/>
        <v>193475.21952655469</v>
      </c>
    </row>
    <row r="41" spans="1:38" x14ac:dyDescent="0.2">
      <c r="A41" s="40" t="s">
        <v>99</v>
      </c>
      <c r="B41" s="2"/>
      <c r="C41" s="50">
        <f>C37*Assumptions!$B$37+C30*Assumptions!$B$38</f>
        <v>2.3009999999999997</v>
      </c>
      <c r="D41" s="50">
        <f>D37*Assumptions!$B$37+D30*Assumptions!$B$38</f>
        <v>4.6616349999999951</v>
      </c>
      <c r="E41" s="50">
        <f>E37*Assumptions!$B$37+E30*Assumptions!$B$38</f>
        <v>7.6854757249999848</v>
      </c>
      <c r="F41" s="50">
        <f>F37*Assumptions!$B$37+F30*Assumptions!$B$38</f>
        <v>85.440107763124999</v>
      </c>
      <c r="G41" s="50">
        <f>G37*Assumptions!$B$37+G30*Assumptions!$B$38</f>
        <v>112.9760820098281</v>
      </c>
      <c r="H41" s="50">
        <f>H37*Assumptions!$B$37+H30*Assumptions!$B$38</f>
        <v>137.76577135490675</v>
      </c>
      <c r="I41" s="50">
        <f>I37*Assumptions!$B$37+I30*Assumptions!$B$38</f>
        <v>173.80758208317826</v>
      </c>
      <c r="J41" s="50">
        <f>J37*Assumptions!$B$37+J30*Assumptions!$B$38</f>
        <v>215.54885745502185</v>
      </c>
      <c r="K41" s="50">
        <f>K37*Assumptions!$B$37+K30*Assumptions!$B$38</f>
        <v>271.74450038240184</v>
      </c>
      <c r="L41" s="50">
        <f>L37*Assumptions!$B$37+L30*Assumptions!$B$38</f>
        <v>337.24236296844214</v>
      </c>
      <c r="M41" s="50">
        <f>M37*Assumptions!$B$37+M30*Assumptions!$B$38</f>
        <v>409.69584463634175</v>
      </c>
      <c r="N41" s="50">
        <f>N37*Assumptions!$B$37+N30*Assumptions!$B$38</f>
        <v>486.53681507779146</v>
      </c>
      <c r="O41" s="50">
        <f>O37*Assumptions!$B$37+O30*Assumptions!$B$38</f>
        <v>693.26694847029466</v>
      </c>
      <c r="P41" s="50">
        <f>P37*Assumptions!$B$37+P30*Assumptions!$B$38</f>
        <v>843.24816187611077</v>
      </c>
      <c r="Q41" s="50">
        <f>Q37*Assumptions!$B$37+Q30*Assumptions!$B$38</f>
        <v>1011.7574482982357</v>
      </c>
      <c r="R41" s="50">
        <f>R37*Assumptions!$B$37+R30*Assumptions!$B$38</f>
        <v>1231.1419741653385</v>
      </c>
      <c r="S41" s="50">
        <f>S37*Assumptions!$B$37+S30*Assumptions!$B$38</f>
        <v>1481.0250183525395</v>
      </c>
      <c r="T41" s="50">
        <f>T37*Assumptions!$B$37+T30*Assumptions!$B$38</f>
        <v>1747.5615527341015</v>
      </c>
      <c r="U41" s="50">
        <f>U37*Assumptions!$B$37+U30*Assumptions!$B$38</f>
        <v>2028.1169681754541</v>
      </c>
      <c r="V41" s="50">
        <f>V37*Assumptions!$B$37+V30*Assumptions!$B$38</f>
        <v>2192.2068688791405</v>
      </c>
      <c r="W41" s="50">
        <f>W37*Assumptions!$B$37+W30*Assumptions!$B$38</f>
        <v>2369.5875561778244</v>
      </c>
      <c r="X41" s="50">
        <f>X37*Assumptions!$B$37+X30*Assumptions!$B$38</f>
        <v>2560.5332462618308</v>
      </c>
      <c r="Y41" s="50">
        <f>Y37*Assumptions!$B$37+Y30*Assumptions!$B$38</f>
        <v>2769.2174045071783</v>
      </c>
      <c r="Z41" s="50">
        <f>Z37*Assumptions!$B$37+Z30*Assumptions!$B$38</f>
        <v>2990.403094115647</v>
      </c>
      <c r="AA41" s="50">
        <f>AA37*Assumptions!$B$37+AA30*Assumptions!$B$38</f>
        <v>3233.841321821259</v>
      </c>
      <c r="AB41" s="50">
        <f>AB37*Assumptions!$B$37+AB30*Assumptions!$B$38</f>
        <v>3434.222550267129</v>
      </c>
      <c r="AC41" s="50">
        <f>AC37*Assumptions!$B$37+AC30*Assumptions!$B$38</f>
        <v>3645.4287845531912</v>
      </c>
      <c r="AD41" s="50">
        <f>AD37*Assumptions!$B$37+AD30*Assumptions!$B$38</f>
        <v>3939.841960467872</v>
      </c>
      <c r="AE41" s="50">
        <f>AE37*Assumptions!$B$37+AE30*Assumptions!$B$38</f>
        <v>4257.2369451310351</v>
      </c>
      <c r="AF41" s="50">
        <f>AF37*Assumptions!$B$37+AF30*Assumptions!$B$38</f>
        <v>4600.9289927237241</v>
      </c>
      <c r="AG41" s="50">
        <f>AG37*Assumptions!$B$37+AG30*Assumptions!$B$38</f>
        <v>4972.5053567414279</v>
      </c>
      <c r="AH41" s="50">
        <f>AH37*Assumptions!$B$37+AH30*Assumptions!$B$38</f>
        <v>5373.0760499015205</v>
      </c>
      <c r="AI41" s="50">
        <f>AI37*Assumptions!$B$37+AI30*Assumptions!$B$38</f>
        <v>5807.1061666382247</v>
      </c>
      <c r="AJ41" s="50">
        <f>AJ37*Assumptions!$B$37+AJ30*Assumptions!$B$38</f>
        <v>6277.3200991343865</v>
      </c>
      <c r="AK41" s="50">
        <f>AK37*Assumptions!$B$37+AK30*Assumptions!$B$38</f>
        <v>6784.2377425175291</v>
      </c>
      <c r="AL41" s="50">
        <f>AL37*Assumptions!$B$37+AL30*Assumptions!$B$38</f>
        <v>7331.1149877573944</v>
      </c>
    </row>
    <row r="42" spans="1:38" x14ac:dyDescent="0.2">
      <c r="A42" s="40" t="s">
        <v>100</v>
      </c>
      <c r="B42" s="2"/>
      <c r="C42" s="50">
        <f>C40*Assumptions!$B$84/(1+Assumptions!$B$84)</f>
        <v>5.0151063829787246</v>
      </c>
      <c r="D42" s="50">
        <f>D40*Assumptions!$B$84/(1+Assumptions!$B$84)</f>
        <v>9.3262808048103505</v>
      </c>
      <c r="E42" s="50">
        <f>E40*Assumptions!$B$84/(1+Assumptions!$B$84)</f>
        <v>15.082934263876009</v>
      </c>
      <c r="F42" s="50">
        <f>F40*Assumptions!$B$84/(1+Assumptions!$B$84)</f>
        <v>167.66510696168478</v>
      </c>
      <c r="G42" s="50">
        <f>G40*Assumptions!$B$84/(1+Assumptions!$B$84)</f>
        <v>221.71065658310548</v>
      </c>
      <c r="H42" s="50">
        <f>H40*Assumptions!$B$84/(1+Assumptions!$B$84)</f>
        <v>270.28230304062652</v>
      </c>
      <c r="I42" s="50">
        <f>I40*Assumptions!$B$84/(1+Assumptions!$B$84)</f>
        <v>340.87659870964552</v>
      </c>
      <c r="J42" s="50">
        <f>J40*Assumptions!$B$84/(1+Assumptions!$B$84)</f>
        <v>422.73696767267802</v>
      </c>
      <c r="K42" s="50">
        <f>K40*Assumptions!$B$84/(1+Assumptions!$B$84)</f>
        <v>532.63281268857747</v>
      </c>
      <c r="L42" s="50">
        <f>L40*Assumptions!$B$84/(1+Assumptions!$B$84)</f>
        <v>661.13533939179581</v>
      </c>
      <c r="M42" s="50">
        <f>M40*Assumptions!$B$84/(1+Assumptions!$B$84)</f>
        <v>802.80786152275766</v>
      </c>
      <c r="N42" s="50">
        <f>N40*Assumptions!$B$84/(1+Assumptions!$B$84)</f>
        <v>953.39867824257067</v>
      </c>
      <c r="O42" s="50">
        <f>O40*Assumptions!$B$84/(1+Assumptions!$B$84)</f>
        <v>1371.0724331135691</v>
      </c>
      <c r="P42" s="50">
        <f>P40*Assumptions!$B$84/(1+Assumptions!$B$84)</f>
        <v>1667.5238411099126</v>
      </c>
      <c r="Q42" s="50">
        <f>Q40*Assumptions!$B$84/(1+Assumptions!$B$84)</f>
        <v>2000.0555938887824</v>
      </c>
      <c r="R42" s="50">
        <f>R40*Assumptions!$B$84/(1+Assumptions!$B$84)</f>
        <v>2435.378928600715</v>
      </c>
      <c r="S42" s="50">
        <f>S40*Assumptions!$B$84/(1+Assumptions!$B$84)</f>
        <v>2928.892576065015</v>
      </c>
      <c r="T42" s="50">
        <f>T40*Assumptions!$B$84/(1+Assumptions!$B$84)</f>
        <v>3455.5569527482789</v>
      </c>
      <c r="U42" s="50">
        <f>U40*Assumptions!$B$84/(1+Assumptions!$B$84)</f>
        <v>4010.653273092717</v>
      </c>
      <c r="V42" s="50">
        <f>V40*Assumptions!$B$84/(1+Assumptions!$B$84)</f>
        <v>4335.0311192618065</v>
      </c>
      <c r="W42" s="50">
        <f>W40*Assumptions!$B$84/(1+Assumptions!$B$84)</f>
        <v>4686.2540028783387</v>
      </c>
      <c r="X42" s="50">
        <f>X40*Assumptions!$B$84/(1+Assumptions!$B$84)</f>
        <v>5063.3844376702455</v>
      </c>
      <c r="Y42" s="50">
        <f>Y40*Assumptions!$B$84/(1+Assumptions!$B$84)</f>
        <v>5476.5420639527683</v>
      </c>
      <c r="Z42" s="50">
        <f>Z40*Assumptions!$B$84/(1+Assumptions!$B$84)</f>
        <v>5912.96717801655</v>
      </c>
      <c r="AA42" s="50">
        <f>AA40*Assumptions!$B$84/(1+Assumptions!$B$84)</f>
        <v>6395.2580498239904</v>
      </c>
      <c r="AB42" s="50">
        <f>AB40*Assumptions!$B$84/(1+Assumptions!$B$84)</f>
        <v>6791.4752635160012</v>
      </c>
      <c r="AC42" s="50">
        <f>AC40*Assumptions!$B$84/(1+Assumptions!$B$84)</f>
        <v>7208.7842138223905</v>
      </c>
      <c r="AD42" s="50">
        <f>AD40*Assumptions!$B$84/(1+Assumptions!$B$84)</f>
        <v>7790.9378770454914</v>
      </c>
      <c r="AE42" s="50">
        <f>AE40*Assumptions!$B$84/(1+Assumptions!$B$84)</f>
        <v>8418.6894262468159</v>
      </c>
      <c r="AF42" s="50">
        <f>AF40*Assumptions!$B$84/(1+Assumptions!$B$84)</f>
        <v>9097.9758011028098</v>
      </c>
      <c r="AG42" s="50">
        <f>AG40*Assumptions!$B$84/(1+Assumptions!$B$84)</f>
        <v>9833.0903820777785</v>
      </c>
      <c r="AH42" s="50">
        <f>AH40*Assumptions!$B$84/(1+Assumptions!$B$84)</f>
        <v>10624.917329356706</v>
      </c>
      <c r="AI42" s="50">
        <f>AI40*Assumptions!$B$84/(1+Assumptions!$B$84)</f>
        <v>11483.245322843912</v>
      </c>
      <c r="AJ42" s="50">
        <f>AJ40*Assumptions!$B$84/(1+Assumptions!$B$84)</f>
        <v>12413.311025146622</v>
      </c>
      <c r="AK42" s="50">
        <f>AK40*Assumptions!$B$84/(1+Assumptions!$B$84)</f>
        <v>13416.114897815234</v>
      </c>
      <c r="AL42" s="50">
        <f>AL40*Assumptions!$B$84/(1+Assumptions!$B$84)</f>
        <v>14497.218114385689</v>
      </c>
    </row>
    <row r="43" spans="1:38" x14ac:dyDescent="0.2">
      <c r="A43" s="40" t="s">
        <v>101</v>
      </c>
      <c r="B43" s="2"/>
      <c r="C43" s="50">
        <f>C40-C42</f>
        <v>61.914893617021285</v>
      </c>
      <c r="D43" s="50">
        <f t="shared" ref="D43:AL43" si="16">D40-D42</f>
        <v>115.13926919518951</v>
      </c>
      <c r="E43" s="50">
        <f t="shared" si="16"/>
        <v>186.20906498612354</v>
      </c>
      <c r="F43" s="50">
        <f t="shared" si="16"/>
        <v>2069.9395921195651</v>
      </c>
      <c r="G43" s="50">
        <f t="shared" si="16"/>
        <v>2737.1685997914255</v>
      </c>
      <c r="H43" s="50">
        <f t="shared" si="16"/>
        <v>3336.8185560571173</v>
      </c>
      <c r="I43" s="50">
        <f t="shared" si="16"/>
        <v>4208.3530704894501</v>
      </c>
      <c r="J43" s="50">
        <f t="shared" si="16"/>
        <v>5218.9749095392344</v>
      </c>
      <c r="K43" s="50">
        <f t="shared" si="16"/>
        <v>6575.7137368960175</v>
      </c>
      <c r="L43" s="50">
        <f t="shared" si="16"/>
        <v>8162.1646838493307</v>
      </c>
      <c r="M43" s="50">
        <f t="shared" si="16"/>
        <v>9911.2081669476247</v>
      </c>
      <c r="N43" s="50">
        <f t="shared" si="16"/>
        <v>11770.354052377414</v>
      </c>
      <c r="O43" s="50">
        <f t="shared" si="16"/>
        <v>16926.820161895914</v>
      </c>
      <c r="P43" s="50">
        <f t="shared" si="16"/>
        <v>20586.714087776698</v>
      </c>
      <c r="Q43" s="50">
        <f t="shared" si="16"/>
        <v>24692.044368997314</v>
      </c>
      <c r="R43" s="50">
        <f t="shared" si="16"/>
        <v>30066.406525934752</v>
      </c>
      <c r="S43" s="50">
        <f t="shared" si="16"/>
        <v>36159.16760574092</v>
      </c>
      <c r="T43" s="50">
        <f t="shared" si="16"/>
        <v>42661.196947509612</v>
      </c>
      <c r="U43" s="50">
        <f t="shared" si="16"/>
        <v>49514.237939416256</v>
      </c>
      <c r="V43" s="50">
        <f t="shared" si="16"/>
        <v>53518.902706935871</v>
      </c>
      <c r="W43" s="50">
        <f t="shared" si="16"/>
        <v>57854.987689856032</v>
      </c>
      <c r="X43" s="50">
        <f t="shared" si="16"/>
        <v>62510.918983583266</v>
      </c>
      <c r="Y43" s="50">
        <f t="shared" si="16"/>
        <v>67611.630419169975</v>
      </c>
      <c r="Z43" s="50">
        <f t="shared" si="16"/>
        <v>72999.59479032777</v>
      </c>
      <c r="AA43" s="50">
        <f t="shared" si="16"/>
        <v>78953.8030842468</v>
      </c>
      <c r="AB43" s="50">
        <f t="shared" si="16"/>
        <v>83845.373623654334</v>
      </c>
      <c r="AC43" s="50">
        <f t="shared" si="16"/>
        <v>88997.335973115929</v>
      </c>
      <c r="AD43" s="50">
        <f t="shared" si="16"/>
        <v>96184.418235129502</v>
      </c>
      <c r="AE43" s="50">
        <f t="shared" si="16"/>
        <v>103934.4373610718</v>
      </c>
      <c r="AF43" s="50">
        <f t="shared" si="16"/>
        <v>112320.68890250381</v>
      </c>
      <c r="AG43" s="50">
        <f t="shared" si="16"/>
        <v>121396.17755651577</v>
      </c>
      <c r="AH43" s="50">
        <f t="shared" si="16"/>
        <v>131171.81888094696</v>
      </c>
      <c r="AI43" s="50">
        <f t="shared" si="16"/>
        <v>141768.46077585075</v>
      </c>
      <c r="AJ43" s="50">
        <f t="shared" si="16"/>
        <v>153250.75339687185</v>
      </c>
      <c r="AK43" s="50">
        <f t="shared" si="16"/>
        <v>165631.04812117573</v>
      </c>
      <c r="AL43" s="50">
        <f t="shared" si="16"/>
        <v>178978.00141216899</v>
      </c>
    </row>
    <row r="44" spans="1:38" x14ac:dyDescent="0.2">
      <c r="A44" s="40" t="s">
        <v>102</v>
      </c>
      <c r="B44" s="2"/>
      <c r="C44" s="50">
        <f>C43-C41</f>
        <v>59.613893617021283</v>
      </c>
      <c r="D44" s="50">
        <f t="shared" ref="D44:AL44" si="17">D43-D41</f>
        <v>110.47763419518952</v>
      </c>
      <c r="E44" s="50">
        <f t="shared" si="17"/>
        <v>178.52358926112356</v>
      </c>
      <c r="F44" s="50">
        <f t="shared" si="17"/>
        <v>1984.49948435644</v>
      </c>
      <c r="G44" s="50">
        <f t="shared" si="17"/>
        <v>2624.1925177815974</v>
      </c>
      <c r="H44" s="50">
        <f t="shared" si="17"/>
        <v>3199.0527847022104</v>
      </c>
      <c r="I44" s="50">
        <f t="shared" si="17"/>
        <v>4034.5454884062719</v>
      </c>
      <c r="J44" s="50">
        <f t="shared" si="17"/>
        <v>5003.4260520842126</v>
      </c>
      <c r="K44" s="50">
        <f t="shared" si="17"/>
        <v>6303.9692365136161</v>
      </c>
      <c r="L44" s="50">
        <f t="shared" si="17"/>
        <v>7824.9223208808889</v>
      </c>
      <c r="M44" s="50">
        <f t="shared" si="17"/>
        <v>9501.5123223112823</v>
      </c>
      <c r="N44" s="50">
        <f t="shared" si="17"/>
        <v>11283.817237299621</v>
      </c>
      <c r="O44" s="50">
        <f t="shared" si="17"/>
        <v>16233.553213425619</v>
      </c>
      <c r="P44" s="50">
        <f t="shared" si="17"/>
        <v>19743.465925900586</v>
      </c>
      <c r="Q44" s="50">
        <f t="shared" si="17"/>
        <v>23680.28692069908</v>
      </c>
      <c r="R44" s="50">
        <f t="shared" si="17"/>
        <v>28835.264551769415</v>
      </c>
      <c r="S44" s="50">
        <f t="shared" si="17"/>
        <v>34678.142587388378</v>
      </c>
      <c r="T44" s="50">
        <f t="shared" si="17"/>
        <v>40913.635394775512</v>
      </c>
      <c r="U44" s="50">
        <f t="shared" si="17"/>
        <v>47486.120971240802</v>
      </c>
      <c r="V44" s="50">
        <f t="shared" si="17"/>
        <v>51326.69583805673</v>
      </c>
      <c r="W44" s="50">
        <f t="shared" si="17"/>
        <v>55485.400133678209</v>
      </c>
      <c r="X44" s="50">
        <f t="shared" si="17"/>
        <v>59950.385737321434</v>
      </c>
      <c r="Y44" s="50">
        <f t="shared" si="17"/>
        <v>64842.413014662794</v>
      </c>
      <c r="Z44" s="50">
        <f t="shared" si="17"/>
        <v>70009.191696212118</v>
      </c>
      <c r="AA44" s="50">
        <f t="shared" si="17"/>
        <v>75719.961762425548</v>
      </c>
      <c r="AB44" s="50">
        <f t="shared" si="17"/>
        <v>80411.151073387198</v>
      </c>
      <c r="AC44" s="50">
        <f t="shared" si="17"/>
        <v>85351.907188562735</v>
      </c>
      <c r="AD44" s="50">
        <f t="shared" si="17"/>
        <v>92244.576274661624</v>
      </c>
      <c r="AE44" s="50">
        <f t="shared" si="17"/>
        <v>99677.200415940766</v>
      </c>
      <c r="AF44" s="50">
        <f t="shared" si="17"/>
        <v>107719.75990978008</v>
      </c>
      <c r="AG44" s="50">
        <f t="shared" si="17"/>
        <v>116423.67219977434</v>
      </c>
      <c r="AH44" s="50">
        <f t="shared" si="17"/>
        <v>125798.74283104544</v>
      </c>
      <c r="AI44" s="50">
        <f t="shared" si="17"/>
        <v>135961.35460921252</v>
      </c>
      <c r="AJ44" s="50">
        <f t="shared" si="17"/>
        <v>146973.43329773747</v>
      </c>
      <c r="AK44" s="50">
        <f t="shared" si="17"/>
        <v>158846.81037865821</v>
      </c>
      <c r="AL44" s="50">
        <f t="shared" si="17"/>
        <v>171646.88642441158</v>
      </c>
    </row>
    <row r="45" spans="1:38" x14ac:dyDescent="0.2">
      <c r="A45" s="59" t="s">
        <v>376</v>
      </c>
      <c r="B45" s="60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</row>
    <row r="46" spans="1:38" ht="17" thickBot="1" x14ac:dyDescent="0.25">
      <c r="A46" s="40" t="s">
        <v>103</v>
      </c>
      <c r="B46" s="2" t="s">
        <v>40</v>
      </c>
      <c r="C46" s="52">
        <f>IFERROR(C37/C30,0)</f>
        <v>69</v>
      </c>
      <c r="D46" s="52">
        <f t="shared" ref="D46:AL46" si="18">IFERROR(D37/D30,0)</f>
        <v>40.929824561403485</v>
      </c>
      <c r="E46" s="52">
        <f t="shared" si="18"/>
        <v>37.335214929226467</v>
      </c>
      <c r="F46" s="52">
        <f t="shared" si="18"/>
        <v>37.321676068084976</v>
      </c>
      <c r="G46" s="52">
        <f t="shared" si="18"/>
        <v>37.32926264871044</v>
      </c>
      <c r="H46" s="52">
        <f t="shared" si="18"/>
        <v>37.280290113557633</v>
      </c>
      <c r="I46" s="52">
        <f t="shared" si="18"/>
        <v>37.221957200581365</v>
      </c>
      <c r="J46" s="52">
        <f t="shared" si="18"/>
        <v>37.220393839123417</v>
      </c>
      <c r="K46" s="52">
        <f t="shared" si="18"/>
        <v>37.119228548169573</v>
      </c>
      <c r="L46" s="52">
        <f t="shared" si="18"/>
        <v>37.151054272329731</v>
      </c>
      <c r="M46" s="52">
        <f t="shared" si="18"/>
        <v>37.073359317214219</v>
      </c>
      <c r="N46" s="52">
        <f t="shared" si="18"/>
        <v>37.076795157979738</v>
      </c>
      <c r="O46" s="52">
        <f t="shared" si="18"/>
        <v>38.703840224531504</v>
      </c>
      <c r="P46" s="52">
        <f t="shared" si="18"/>
        <v>38.685570900976749</v>
      </c>
      <c r="Q46" s="52">
        <f t="shared" si="18"/>
        <v>38.621917832836495</v>
      </c>
      <c r="R46" s="52">
        <f t="shared" si="18"/>
        <v>38.745502140504335</v>
      </c>
      <c r="S46" s="52">
        <f t="shared" si="18"/>
        <v>38.695874586860675</v>
      </c>
      <c r="T46" s="52">
        <f t="shared" si="18"/>
        <v>38.67245538052682</v>
      </c>
      <c r="U46" s="52">
        <f t="shared" si="18"/>
        <v>38.687880792129008</v>
      </c>
      <c r="V46" s="52">
        <f t="shared" si="18"/>
        <v>38.683053339174322</v>
      </c>
      <c r="W46" s="52">
        <f t="shared" si="18"/>
        <v>38.700950463058057</v>
      </c>
      <c r="X46" s="52">
        <f t="shared" si="18"/>
        <v>38.68296810736998</v>
      </c>
      <c r="Y46" s="52">
        <f t="shared" si="18"/>
        <v>38.699392102279262</v>
      </c>
      <c r="Z46" s="52">
        <f t="shared" si="18"/>
        <v>38.668304449482982</v>
      </c>
      <c r="AA46" s="52">
        <f t="shared" si="18"/>
        <v>38.695164405535678</v>
      </c>
      <c r="AB46" s="52">
        <f t="shared" si="18"/>
        <v>38.693610405435606</v>
      </c>
      <c r="AC46" s="52">
        <f t="shared" si="18"/>
        <v>38.684202406983481</v>
      </c>
      <c r="AD46" s="52">
        <f t="shared" si="18"/>
        <v>38.683160954767907</v>
      </c>
      <c r="AE46" s="52">
        <f t="shared" si="18"/>
        <v>38.685578154226221</v>
      </c>
      <c r="AF46" s="52">
        <f t="shared" si="18"/>
        <v>38.678225181301194</v>
      </c>
      <c r="AG46" s="52">
        <f t="shared" si="18"/>
        <v>38.684778342945222</v>
      </c>
      <c r="AH46" s="52">
        <f t="shared" si="18"/>
        <v>38.679628691593379</v>
      </c>
      <c r="AI46" s="52">
        <f t="shared" si="18"/>
        <v>38.680601605875971</v>
      </c>
      <c r="AJ46" s="52">
        <f t="shared" si="18"/>
        <v>38.684183311484155</v>
      </c>
      <c r="AK46" s="52">
        <f t="shared" si="18"/>
        <v>38.689396960478426</v>
      </c>
      <c r="AL46" s="52">
        <f t="shared" si="18"/>
        <v>38.684723546933668</v>
      </c>
    </row>
    <row r="47" spans="1:38" x14ac:dyDescent="0.2">
      <c r="A47" s="93" t="s">
        <v>104</v>
      </c>
      <c r="B47" s="94"/>
      <c r="C47" s="96">
        <f>C40</f>
        <v>66.930000000000007</v>
      </c>
      <c r="D47" s="96">
        <f t="shared" ref="D47:AL47" si="19">D40</f>
        <v>124.46554999999987</v>
      </c>
      <c r="E47" s="96">
        <f t="shared" si="19"/>
        <v>201.29199924999955</v>
      </c>
      <c r="F47" s="96">
        <f t="shared" si="19"/>
        <v>2237.6046990812497</v>
      </c>
      <c r="G47" s="96">
        <f t="shared" si="19"/>
        <v>2958.879256374531</v>
      </c>
      <c r="H47" s="96">
        <f t="shared" si="19"/>
        <v>3607.100859097744</v>
      </c>
      <c r="I47" s="96">
        <f t="shared" si="19"/>
        <v>4549.229669199096</v>
      </c>
      <c r="J47" s="96">
        <f t="shared" si="19"/>
        <v>5641.7118772119129</v>
      </c>
      <c r="K47" s="96">
        <f t="shared" si="19"/>
        <v>7108.3465495845949</v>
      </c>
      <c r="L47" s="96">
        <f t="shared" si="19"/>
        <v>8823.3000232411268</v>
      </c>
      <c r="M47" s="96">
        <f t="shared" si="19"/>
        <v>10714.016028470382</v>
      </c>
      <c r="N47" s="96">
        <f t="shared" si="19"/>
        <v>12723.752730619985</v>
      </c>
      <c r="O47" s="96">
        <f t="shared" si="19"/>
        <v>18297.892595009482</v>
      </c>
      <c r="P47" s="96">
        <f t="shared" si="19"/>
        <v>22254.23792888661</v>
      </c>
      <c r="Q47" s="96">
        <f t="shared" si="19"/>
        <v>26692.099962886095</v>
      </c>
      <c r="R47" s="96">
        <f t="shared" si="19"/>
        <v>32501.785454535468</v>
      </c>
      <c r="S47" s="96">
        <f t="shared" si="19"/>
        <v>39088.060181805937</v>
      </c>
      <c r="T47" s="96">
        <f t="shared" si="19"/>
        <v>46116.753900257892</v>
      </c>
      <c r="U47" s="96">
        <f t="shared" si="19"/>
        <v>53524.89121250897</v>
      </c>
      <c r="V47" s="96">
        <f t="shared" si="19"/>
        <v>57853.933826197681</v>
      </c>
      <c r="W47" s="96">
        <f t="shared" si="19"/>
        <v>62541.241692734373</v>
      </c>
      <c r="X47" s="96">
        <f t="shared" si="19"/>
        <v>67574.303421253513</v>
      </c>
      <c r="Y47" s="96">
        <f t="shared" si="19"/>
        <v>73088.172483122748</v>
      </c>
      <c r="Z47" s="96">
        <f t="shared" si="19"/>
        <v>78912.561968344322</v>
      </c>
      <c r="AA47" s="96">
        <f t="shared" si="19"/>
        <v>85349.061134070784</v>
      </c>
      <c r="AB47" s="96">
        <f t="shared" si="19"/>
        <v>90636.84888717033</v>
      </c>
      <c r="AC47" s="96">
        <f t="shared" si="19"/>
        <v>96206.120186938322</v>
      </c>
      <c r="AD47" s="96">
        <f t="shared" si="19"/>
        <v>103975.356112175</v>
      </c>
      <c r="AE47" s="96">
        <f t="shared" si="19"/>
        <v>112353.12678731862</v>
      </c>
      <c r="AF47" s="96">
        <f t="shared" si="19"/>
        <v>121418.66470360663</v>
      </c>
      <c r="AG47" s="96">
        <f t="shared" si="19"/>
        <v>131229.26793859355</v>
      </c>
      <c r="AH47" s="96">
        <f t="shared" si="19"/>
        <v>141796.73621030367</v>
      </c>
      <c r="AI47" s="96">
        <f t="shared" si="19"/>
        <v>153251.70609869465</v>
      </c>
      <c r="AJ47" s="96">
        <f t="shared" si="19"/>
        <v>165664.06442201848</v>
      </c>
      <c r="AK47" s="96">
        <f t="shared" si="19"/>
        <v>179047.16301899095</v>
      </c>
      <c r="AL47" s="96">
        <f t="shared" si="19"/>
        <v>193475.21952655469</v>
      </c>
    </row>
    <row r="48" spans="1:38" x14ac:dyDescent="0.2">
      <c r="A48" s="40" t="s">
        <v>105</v>
      </c>
      <c r="B48" s="2"/>
      <c r="C48" s="50">
        <f>C47*12</f>
        <v>803.16000000000008</v>
      </c>
      <c r="D48" s="50">
        <f t="shared" ref="D48:AL48" si="20">D47*12</f>
        <v>1493.5865999999983</v>
      </c>
      <c r="E48" s="50">
        <f t="shared" si="20"/>
        <v>2415.5039909999946</v>
      </c>
      <c r="F48" s="50">
        <f t="shared" si="20"/>
        <v>26851.256388974994</v>
      </c>
      <c r="G48" s="50">
        <f t="shared" si="20"/>
        <v>35506.551076494376</v>
      </c>
      <c r="H48" s="50">
        <f t="shared" si="20"/>
        <v>43285.21030917293</v>
      </c>
      <c r="I48" s="50">
        <f t="shared" si="20"/>
        <v>54590.756030389151</v>
      </c>
      <c r="J48" s="50">
        <f t="shared" si="20"/>
        <v>67700.542526542951</v>
      </c>
      <c r="K48" s="50">
        <f t="shared" si="20"/>
        <v>85300.158595015135</v>
      </c>
      <c r="L48" s="50">
        <f t="shared" si="20"/>
        <v>105879.60027889351</v>
      </c>
      <c r="M48" s="50">
        <f t="shared" si="20"/>
        <v>128568.19234164458</v>
      </c>
      <c r="N48" s="50">
        <f t="shared" si="20"/>
        <v>152685.03276743981</v>
      </c>
      <c r="O48" s="50">
        <f t="shared" si="20"/>
        <v>219574.71114011377</v>
      </c>
      <c r="P48" s="50">
        <f t="shared" si="20"/>
        <v>267050.85514663934</v>
      </c>
      <c r="Q48" s="50">
        <f t="shared" si="20"/>
        <v>320305.19955463312</v>
      </c>
      <c r="R48" s="50">
        <f t="shared" si="20"/>
        <v>390021.42545442563</v>
      </c>
      <c r="S48" s="50">
        <f t="shared" si="20"/>
        <v>469056.72218167124</v>
      </c>
      <c r="T48" s="50">
        <f t="shared" si="20"/>
        <v>553401.04680309468</v>
      </c>
      <c r="U48" s="50">
        <f t="shared" si="20"/>
        <v>642298.6945501077</v>
      </c>
      <c r="V48" s="50">
        <f t="shared" si="20"/>
        <v>694247.20591437211</v>
      </c>
      <c r="W48" s="50">
        <f t="shared" si="20"/>
        <v>750494.90031281253</v>
      </c>
      <c r="X48" s="50">
        <f t="shared" si="20"/>
        <v>810891.64105504216</v>
      </c>
      <c r="Y48" s="50">
        <f t="shared" si="20"/>
        <v>877058.06979747303</v>
      </c>
      <c r="Z48" s="50">
        <f t="shared" si="20"/>
        <v>946950.74362013186</v>
      </c>
      <c r="AA48" s="50">
        <f t="shared" si="20"/>
        <v>1024188.7336088493</v>
      </c>
      <c r="AB48" s="50">
        <f t="shared" si="20"/>
        <v>1087642.186646044</v>
      </c>
      <c r="AC48" s="50">
        <f t="shared" si="20"/>
        <v>1154473.4422432599</v>
      </c>
      <c r="AD48" s="50">
        <f t="shared" si="20"/>
        <v>1247704.2733461</v>
      </c>
      <c r="AE48" s="50">
        <f t="shared" si="20"/>
        <v>1348237.5214478234</v>
      </c>
      <c r="AF48" s="50">
        <f t="shared" si="20"/>
        <v>1457023.9764432795</v>
      </c>
      <c r="AG48" s="50">
        <f t="shared" si="20"/>
        <v>1574751.2152631227</v>
      </c>
      <c r="AH48" s="50">
        <f t="shared" si="20"/>
        <v>1701560.8345236441</v>
      </c>
      <c r="AI48" s="50">
        <f t="shared" si="20"/>
        <v>1839020.4731843357</v>
      </c>
      <c r="AJ48" s="50">
        <f t="shared" si="20"/>
        <v>1987968.7730642217</v>
      </c>
      <c r="AK48" s="50">
        <f t="shared" si="20"/>
        <v>2148565.9562278911</v>
      </c>
      <c r="AL48" s="50">
        <f t="shared" si="20"/>
        <v>2321702.6343186563</v>
      </c>
    </row>
    <row r="49" spans="1:38" x14ac:dyDescent="0.2">
      <c r="A49" s="59" t="s">
        <v>377</v>
      </c>
      <c r="B49" s="60"/>
      <c r="C49" s="61" t="s">
        <v>105</v>
      </c>
      <c r="D49" s="61"/>
      <c r="E49" s="61">
        <f>E48*12</f>
        <v>28986.047891999937</v>
      </c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</row>
    <row r="50" spans="1:38" x14ac:dyDescent="0.2">
      <c r="A50" s="40" t="s">
        <v>106</v>
      </c>
      <c r="B50" s="4">
        <f>SUM(C37:N37)</f>
        <v>60573.84457951611</v>
      </c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</row>
    <row r="51" spans="1:38" x14ac:dyDescent="0.2">
      <c r="A51" s="40" t="s">
        <v>107</v>
      </c>
      <c r="B51" s="4">
        <f>SUM(O37:Z37)</f>
        <v>596336.01507994137</v>
      </c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</row>
    <row r="52" spans="1:38" x14ac:dyDescent="0.2">
      <c r="A52" s="40" t="s">
        <v>108</v>
      </c>
      <c r="B52" s="4">
        <f>SUM(AA37:AL37)</f>
        <v>1623096.221676738</v>
      </c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</row>
    <row r="53" spans="1:38" x14ac:dyDescent="0.2">
      <c r="A53" s="40" t="s">
        <v>109</v>
      </c>
      <c r="B53" s="4">
        <f>N23</f>
        <v>416.78653414940959</v>
      </c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</row>
    <row r="54" spans="1:38" x14ac:dyDescent="0.2">
      <c r="A54" s="40" t="s">
        <v>110</v>
      </c>
      <c r="B54" s="4">
        <f>Z23</f>
        <v>2214.871835773858</v>
      </c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</row>
    <row r="55" spans="1:38" x14ac:dyDescent="0.2">
      <c r="A55" s="40" t="s">
        <v>111</v>
      </c>
      <c r="B55" s="4">
        <f>AL23</f>
        <v>5427.0143362700537</v>
      </c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</row>
    <row r="56" spans="1:38" x14ac:dyDescent="0.2">
      <c r="A56" s="40" t="s">
        <v>112</v>
      </c>
      <c r="B56" s="4">
        <f>AL48</f>
        <v>2321702.6343186563</v>
      </c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</row>
  </sheetData>
  <conditionalFormatting sqref="C31:AL31">
    <cfRule type="expression" dxfId="37" priority="1">
      <formula>C31=C23</formula>
    </cfRule>
  </conditionalFormatting>
  <conditionalFormatting sqref="C31:AL31">
    <cfRule type="expression" dxfId="36" priority="2">
      <formula>C31&lt;&gt;C23</formula>
    </cfRule>
  </conditionalFormatting>
  <conditionalFormatting sqref="C3:AL48">
    <cfRule type="expression" dxfId="35" priority="3">
      <formula>AND(ISNUMBER(C3),C3&lt;0)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F7000-BC67-9640-A6F1-DBBCABB01802}">
  <dimension ref="A1:AL67"/>
  <sheetViews>
    <sheetView showGridLines="0" topLeftCell="A25" workbookViewId="0">
      <selection activeCell="C3" sqref="C3"/>
    </sheetView>
  </sheetViews>
  <sheetFormatPr baseColWidth="10" defaultRowHeight="16" x14ac:dyDescent="0.2"/>
  <cols>
    <col min="1" max="1" width="22.5" style="42" bestFit="1" customWidth="1"/>
    <col min="2" max="2" width="10.83203125" customWidth="1"/>
    <col min="3" max="38" width="9.1640625" style="46" customWidth="1"/>
  </cols>
  <sheetData>
    <row r="1" spans="1:38" ht="17" thickBot="1" x14ac:dyDescent="0.25">
      <c r="A1" s="64" t="s">
        <v>113</v>
      </c>
      <c r="B1" s="64" t="s">
        <v>72</v>
      </c>
      <c r="C1" s="176" t="s">
        <v>409</v>
      </c>
      <c r="D1" s="176" t="s">
        <v>410</v>
      </c>
      <c r="E1" s="176" t="s">
        <v>411</v>
      </c>
      <c r="F1" s="176" t="s">
        <v>412</v>
      </c>
      <c r="G1" s="176" t="s">
        <v>413</v>
      </c>
      <c r="H1" s="176" t="s">
        <v>414</v>
      </c>
      <c r="I1" s="176" t="s">
        <v>415</v>
      </c>
      <c r="J1" s="176" t="s">
        <v>416</v>
      </c>
      <c r="K1" s="176" t="s">
        <v>417</v>
      </c>
      <c r="L1" s="176" t="s">
        <v>418</v>
      </c>
      <c r="M1" s="176" t="s">
        <v>419</v>
      </c>
      <c r="N1" s="176" t="s">
        <v>420</v>
      </c>
      <c r="O1" s="176" t="s">
        <v>421</v>
      </c>
      <c r="P1" s="176" t="s">
        <v>422</v>
      </c>
      <c r="Q1" s="176" t="s">
        <v>423</v>
      </c>
      <c r="R1" s="176" t="s">
        <v>424</v>
      </c>
      <c r="S1" s="176" t="s">
        <v>425</v>
      </c>
      <c r="T1" s="176" t="s">
        <v>426</v>
      </c>
      <c r="U1" s="176" t="s">
        <v>427</v>
      </c>
      <c r="V1" s="176" t="s">
        <v>428</v>
      </c>
      <c r="W1" s="176" t="s">
        <v>429</v>
      </c>
      <c r="X1" s="176" t="s">
        <v>430</v>
      </c>
      <c r="Y1" s="176" t="s">
        <v>431</v>
      </c>
      <c r="Z1" s="176" t="s">
        <v>432</v>
      </c>
      <c r="AA1" s="176" t="s">
        <v>433</v>
      </c>
      <c r="AB1" s="176" t="s">
        <v>434</v>
      </c>
      <c r="AC1" s="176" t="s">
        <v>435</v>
      </c>
      <c r="AD1" s="176" t="s">
        <v>436</v>
      </c>
      <c r="AE1" s="176" t="s">
        <v>437</v>
      </c>
      <c r="AF1" s="176" t="s">
        <v>438</v>
      </c>
      <c r="AG1" s="176" t="s">
        <v>439</v>
      </c>
      <c r="AH1" s="176" t="s">
        <v>440</v>
      </c>
      <c r="AI1" s="176" t="s">
        <v>441</v>
      </c>
      <c r="AJ1" s="176" t="s">
        <v>442</v>
      </c>
      <c r="AK1" s="176" t="s">
        <v>443</v>
      </c>
      <c r="AL1" s="176" t="s">
        <v>444</v>
      </c>
    </row>
    <row r="2" spans="1:38" x14ac:dyDescent="0.2">
      <c r="A2" s="90" t="s">
        <v>378</v>
      </c>
      <c r="B2" s="91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</row>
    <row r="3" spans="1:38" x14ac:dyDescent="0.2">
      <c r="A3" s="40" t="s">
        <v>114</v>
      </c>
      <c r="B3" s="2"/>
      <c r="C3" s="48">
        <f>Revenue!C23</f>
        <v>8</v>
      </c>
      <c r="D3" s="48">
        <f>Revenue!D23</f>
        <v>20.134999999999998</v>
      </c>
      <c r="E3" s="48">
        <f>Revenue!E23</f>
        <v>37.558224999999993</v>
      </c>
      <c r="F3" s="48">
        <f>Revenue!F23</f>
        <v>72.808825624999997</v>
      </c>
      <c r="G3" s="48">
        <f>Revenue!G23</f>
        <v>95.715811390624992</v>
      </c>
      <c r="H3" s="48">
        <f>Revenue!H23</f>
        <v>117.74870549974217</v>
      </c>
      <c r="I3" s="48">
        <f>Revenue!I23</f>
        <v>147.99894918869111</v>
      </c>
      <c r="J3" s="48">
        <f>Revenue!J23</f>
        <v>183.26373639940107</v>
      </c>
      <c r="K3" s="48">
        <f>Revenue!K23</f>
        <v>232.42307708926631</v>
      </c>
      <c r="L3" s="48">
        <f>Revenue!L23</f>
        <v>287.84326943435121</v>
      </c>
      <c r="M3" s="48">
        <f>Revenue!M23</f>
        <v>350.93300505708027</v>
      </c>
      <c r="N3" s="48">
        <f>Revenue!N23</f>
        <v>416.78653414940959</v>
      </c>
      <c r="O3" s="48">
        <f>Revenue!O23</f>
        <v>513.38850433302673</v>
      </c>
      <c r="P3" s="48">
        <f>Revenue!P23</f>
        <v>624.05091780795772</v>
      </c>
      <c r="Q3" s="48">
        <f>Revenue!Q23</f>
        <v>750.48737431474819</v>
      </c>
      <c r="R3" s="48">
        <f>Revenue!R23</f>
        <v>909.79703353556647</v>
      </c>
      <c r="S3" s="48">
        <f>Revenue!S23</f>
        <v>1096.3763660810689</v>
      </c>
      <c r="T3" s="48">
        <f>Revenue!T23</f>
        <v>1294.377467507215</v>
      </c>
      <c r="U3" s="48">
        <f>Revenue!U23</f>
        <v>1501.2942060736436</v>
      </c>
      <c r="V3" s="48">
        <f>Revenue!V23</f>
        <v>1622.8439238935855</v>
      </c>
      <c r="W3" s="48">
        <f>Revenue!W23</f>
        <v>1753.9928536192197</v>
      </c>
      <c r="X3" s="48">
        <f>Revenue!X23</f>
        <v>1895.9018888578144</v>
      </c>
      <c r="Y3" s="48">
        <f>Revenue!Y23</f>
        <v>2049.0236438536194</v>
      </c>
      <c r="Z3" s="48">
        <f>Revenue!Z23</f>
        <v>2214.871835773858</v>
      </c>
      <c r="AA3" s="48">
        <f>Revenue!AA23</f>
        <v>2393.8945336033285</v>
      </c>
      <c r="AB3" s="48">
        <f>Revenue!AB23</f>
        <v>2541.8702956397779</v>
      </c>
      <c r="AC3" s="48">
        <f>Revenue!AC23</f>
        <v>2698.877785551148</v>
      </c>
      <c r="AD3" s="48">
        <f>Revenue!AD23</f>
        <v>2917.0012866005527</v>
      </c>
      <c r="AE3" s="48">
        <f>Revenue!AE23</f>
        <v>3152.0864602916272</v>
      </c>
      <c r="AF3" s="48">
        <f>Revenue!AF23</f>
        <v>3406.2881324309969</v>
      </c>
      <c r="AG3" s="48">
        <f>Revenue!AG23</f>
        <v>3681.1870303091819</v>
      </c>
      <c r="AH3" s="48">
        <f>Revenue!AH23</f>
        <v>3978.3072794009213</v>
      </c>
      <c r="AI3" s="48">
        <f>Revenue!AI23</f>
        <v>4299.5137621200456</v>
      </c>
      <c r="AJ3" s="48">
        <f>Revenue!AJ23</f>
        <v>4646.9231200062522</v>
      </c>
      <c r="AK3" s="48">
        <f>Revenue!AK23</f>
        <v>5021.9377412070962</v>
      </c>
      <c r="AL3" s="48">
        <f>Revenue!AL23</f>
        <v>5427.0143362700537</v>
      </c>
    </row>
    <row r="4" spans="1:38" x14ac:dyDescent="0.2">
      <c r="A4" s="40" t="s">
        <v>90</v>
      </c>
      <c r="B4" s="2"/>
      <c r="C4" s="48">
        <f>Revenue!C30</f>
        <v>1</v>
      </c>
      <c r="D4" s="48">
        <f>Revenue!D30</f>
        <v>3.134999999999998</v>
      </c>
      <c r="E4" s="48">
        <f>Revenue!E30</f>
        <v>5.5582249999999931</v>
      </c>
      <c r="F4" s="48">
        <f>Revenue!F30</f>
        <v>61.808825624999997</v>
      </c>
      <c r="G4" s="48">
        <f>Revenue!G30</f>
        <v>81.715811390624992</v>
      </c>
      <c r="H4" s="48">
        <f>Revenue!H30</f>
        <v>99.748705499742172</v>
      </c>
      <c r="I4" s="48">
        <f>Revenue!I30</f>
        <v>125.99894918869111</v>
      </c>
      <c r="J4" s="48">
        <f>Revenue!J30</f>
        <v>156.26373639940107</v>
      </c>
      <c r="K4" s="48">
        <f>Revenue!K30</f>
        <v>197.42307708926631</v>
      </c>
      <c r="L4" s="48">
        <f>Revenue!L30</f>
        <v>244.84326943435121</v>
      </c>
      <c r="M4" s="48">
        <f>Revenue!M30</f>
        <v>297.93300505708027</v>
      </c>
      <c r="N4" s="48">
        <f>Revenue!N30</f>
        <v>353.78653414940959</v>
      </c>
      <c r="O4" s="48">
        <f>Revenue!O30</f>
        <v>487.38850433302673</v>
      </c>
      <c r="P4" s="48">
        <f>Revenue!P30</f>
        <v>593.05091780795772</v>
      </c>
      <c r="Q4" s="48">
        <f>Revenue!Q30</f>
        <v>712.48737431474819</v>
      </c>
      <c r="R4" s="48">
        <f>Revenue!R30</f>
        <v>864.79703353556647</v>
      </c>
      <c r="S4" s="48">
        <f>Revenue!S30</f>
        <v>1041.3763660810689</v>
      </c>
      <c r="T4" s="48">
        <f>Revenue!T30</f>
        <v>1229.377467507215</v>
      </c>
      <c r="U4" s="48">
        <f>Revenue!U30</f>
        <v>1426.2942060736436</v>
      </c>
      <c r="V4" s="48">
        <f>Revenue!V30</f>
        <v>1541.8439238935855</v>
      </c>
      <c r="W4" s="48">
        <f>Revenue!W30</f>
        <v>1665.9928536192197</v>
      </c>
      <c r="X4" s="48">
        <f>Revenue!X30</f>
        <v>1800.9018888578144</v>
      </c>
      <c r="Y4" s="48">
        <f>Revenue!Y30</f>
        <v>1947.0236438536194</v>
      </c>
      <c r="Z4" s="48">
        <f>Revenue!Z30</f>
        <v>2103.871835773858</v>
      </c>
      <c r="AA4" s="48">
        <f>Revenue!AA30</f>
        <v>2273.8945336033285</v>
      </c>
      <c r="AB4" s="48">
        <f>Revenue!AB30</f>
        <v>2414.8702956397779</v>
      </c>
      <c r="AC4" s="48">
        <f>Revenue!AC30</f>
        <v>2563.877785551148</v>
      </c>
      <c r="AD4" s="48">
        <f>Revenue!AD30</f>
        <v>2771.0012866005527</v>
      </c>
      <c r="AE4" s="48">
        <f>Revenue!AE30</f>
        <v>2994.0864602916272</v>
      </c>
      <c r="AF4" s="48">
        <f>Revenue!AF30</f>
        <v>3236.2881324309969</v>
      </c>
      <c r="AG4" s="48">
        <f>Revenue!AG30</f>
        <v>3497.1870303091819</v>
      </c>
      <c r="AH4" s="48">
        <f>Revenue!AH30</f>
        <v>3779.3072794009213</v>
      </c>
      <c r="AI4" s="48">
        <f>Revenue!AI30</f>
        <v>4084.5137621200456</v>
      </c>
      <c r="AJ4" s="48">
        <f>Revenue!AJ30</f>
        <v>4414.9231200062522</v>
      </c>
      <c r="AK4" s="48">
        <f>Revenue!AK30</f>
        <v>4770.9377412070962</v>
      </c>
      <c r="AL4" s="48">
        <f>Revenue!AL30</f>
        <v>5156.0143362700537</v>
      </c>
    </row>
    <row r="5" spans="1:38" x14ac:dyDescent="0.2">
      <c r="A5" s="40" t="s">
        <v>86</v>
      </c>
      <c r="B5" s="2"/>
      <c r="C5" s="48">
        <f>Revenue!C26</f>
        <v>7</v>
      </c>
      <c r="D5" s="48">
        <f>Revenue!D26</f>
        <v>17</v>
      </c>
      <c r="E5" s="48">
        <f>Revenue!E26</f>
        <v>32</v>
      </c>
      <c r="F5" s="48">
        <f>Revenue!F26</f>
        <v>11</v>
      </c>
      <c r="G5" s="48">
        <f>Revenue!G26</f>
        <v>14</v>
      </c>
      <c r="H5" s="48">
        <f>Revenue!H26</f>
        <v>18</v>
      </c>
      <c r="I5" s="48">
        <f>Revenue!I26</f>
        <v>22</v>
      </c>
      <c r="J5" s="48">
        <f>Revenue!J26</f>
        <v>27</v>
      </c>
      <c r="K5" s="48">
        <f>Revenue!K26</f>
        <v>35</v>
      </c>
      <c r="L5" s="48">
        <f>Revenue!L26</f>
        <v>43</v>
      </c>
      <c r="M5" s="48">
        <f>Revenue!M26</f>
        <v>53</v>
      </c>
      <c r="N5" s="48">
        <f>Revenue!N26</f>
        <v>63</v>
      </c>
      <c r="O5" s="48">
        <f>Revenue!O26</f>
        <v>26</v>
      </c>
      <c r="P5" s="48">
        <f>Revenue!P26</f>
        <v>31</v>
      </c>
      <c r="Q5" s="48">
        <f>Revenue!Q26</f>
        <v>38</v>
      </c>
      <c r="R5" s="48">
        <f>Revenue!R26</f>
        <v>45</v>
      </c>
      <c r="S5" s="48">
        <f>Revenue!S26</f>
        <v>55</v>
      </c>
      <c r="T5" s="48">
        <f>Revenue!T26</f>
        <v>65</v>
      </c>
      <c r="U5" s="48">
        <f>Revenue!U26</f>
        <v>75</v>
      </c>
      <c r="V5" s="48">
        <f>Revenue!V26</f>
        <v>81</v>
      </c>
      <c r="W5" s="48">
        <f>Revenue!W26</f>
        <v>88</v>
      </c>
      <c r="X5" s="48">
        <f>Revenue!X26</f>
        <v>95</v>
      </c>
      <c r="Y5" s="48">
        <f>Revenue!Y26</f>
        <v>102</v>
      </c>
      <c r="Z5" s="48">
        <f>Revenue!Z26</f>
        <v>111</v>
      </c>
      <c r="AA5" s="48">
        <f>Revenue!AA26</f>
        <v>120</v>
      </c>
      <c r="AB5" s="48">
        <f>Revenue!AB26</f>
        <v>127</v>
      </c>
      <c r="AC5" s="48">
        <f>Revenue!AC26</f>
        <v>135</v>
      </c>
      <c r="AD5" s="48">
        <f>Revenue!AD26</f>
        <v>146</v>
      </c>
      <c r="AE5" s="48">
        <f>Revenue!AE26</f>
        <v>158</v>
      </c>
      <c r="AF5" s="48">
        <f>Revenue!AF26</f>
        <v>170</v>
      </c>
      <c r="AG5" s="48">
        <f>Revenue!AG26</f>
        <v>184</v>
      </c>
      <c r="AH5" s="48">
        <f>Revenue!AH26</f>
        <v>199</v>
      </c>
      <c r="AI5" s="48">
        <f>Revenue!AI26</f>
        <v>215</v>
      </c>
      <c r="AJ5" s="48">
        <f>Revenue!AJ26</f>
        <v>232</v>
      </c>
      <c r="AK5" s="48">
        <f>Revenue!AK26</f>
        <v>251</v>
      </c>
      <c r="AL5" s="48">
        <f>Revenue!AL26</f>
        <v>271</v>
      </c>
    </row>
    <row r="6" spans="1:38" x14ac:dyDescent="0.2">
      <c r="A6" s="40" t="s">
        <v>115</v>
      </c>
      <c r="B6" s="2"/>
      <c r="C6" s="48">
        <f>C4*Assumptions!$B$40</f>
        <v>150</v>
      </c>
      <c r="D6" s="48">
        <f>D4*Assumptions!$B$40</f>
        <v>470.24999999999972</v>
      </c>
      <c r="E6" s="48">
        <f>E4*Assumptions!$B$40</f>
        <v>833.73374999999896</v>
      </c>
      <c r="F6" s="48">
        <f>F4*Assumptions!$B$40</f>
        <v>9271.3238437500004</v>
      </c>
      <c r="G6" s="48">
        <f>G4*Assumptions!$B$40</f>
        <v>12257.37170859375</v>
      </c>
      <c r="H6" s="48">
        <f>H4*Assumptions!$B$40</f>
        <v>14962.305824961326</v>
      </c>
      <c r="I6" s="48">
        <f>I4*Assumptions!$B$40</f>
        <v>18899.842378303667</v>
      </c>
      <c r="J6" s="48">
        <f>J4*Assumptions!$B$40</f>
        <v>23439.560459910161</v>
      </c>
      <c r="K6" s="48">
        <f>K4*Assumptions!$B$40</f>
        <v>29613.461563389948</v>
      </c>
      <c r="L6" s="48">
        <f>L4*Assumptions!$B$40</f>
        <v>36726.490415152679</v>
      </c>
      <c r="M6" s="48">
        <f>M4*Assumptions!$B$40</f>
        <v>44689.950758562038</v>
      </c>
      <c r="N6" s="48">
        <f>N4*Assumptions!$B$40</f>
        <v>53067.980122411442</v>
      </c>
      <c r="O6" s="48">
        <f>O4*Assumptions!$B$40</f>
        <v>73108.275649954012</v>
      </c>
      <c r="P6" s="48">
        <f>P4*Assumptions!$B$40</f>
        <v>88957.637671193661</v>
      </c>
      <c r="Q6" s="48">
        <f>Q4*Assumptions!$B$40</f>
        <v>106873.10614721222</v>
      </c>
      <c r="R6" s="48">
        <f>R4*Assumptions!$B$40</f>
        <v>129719.55503033497</v>
      </c>
      <c r="S6" s="48">
        <f>S4*Assumptions!$B$40</f>
        <v>156206.45491216035</v>
      </c>
      <c r="T6" s="48">
        <f>T4*Assumptions!$B$40</f>
        <v>184406.62012608224</v>
      </c>
      <c r="U6" s="48">
        <f>U4*Assumptions!$B$40</f>
        <v>213944.13091104655</v>
      </c>
      <c r="V6" s="48">
        <f>V4*Assumptions!$B$40</f>
        <v>231276.58858403782</v>
      </c>
      <c r="W6" s="48">
        <f>W4*Assumptions!$B$40</f>
        <v>249898.92804288294</v>
      </c>
      <c r="X6" s="48">
        <f>X4*Assumptions!$B$40</f>
        <v>270135.28332867217</v>
      </c>
      <c r="Y6" s="48">
        <f>Y4*Assumptions!$B$40</f>
        <v>292053.54657804291</v>
      </c>
      <c r="Z6" s="48">
        <f>Z4*Assumptions!$B$40</f>
        <v>315580.77536607871</v>
      </c>
      <c r="AA6" s="48">
        <f>AA4*Assumptions!$B$40</f>
        <v>341084.18004049925</v>
      </c>
      <c r="AB6" s="48">
        <f>AB4*Assumptions!$B$40</f>
        <v>362230.54434596666</v>
      </c>
      <c r="AC6" s="48">
        <f>AC4*Assumptions!$B$40</f>
        <v>384581.66783267219</v>
      </c>
      <c r="AD6" s="48">
        <f>AD4*Assumptions!$B$40</f>
        <v>415650.1929900829</v>
      </c>
      <c r="AE6" s="48">
        <f>AE4*Assumptions!$B$40</f>
        <v>449112.96904374409</v>
      </c>
      <c r="AF6" s="48">
        <f>AF4*Assumptions!$B$40</f>
        <v>485443.21986464952</v>
      </c>
      <c r="AG6" s="48">
        <f>AG4*Assumptions!$B$40</f>
        <v>524578.05454637727</v>
      </c>
      <c r="AH6" s="48">
        <f>AH4*Assumptions!$B$40</f>
        <v>566896.09191013814</v>
      </c>
      <c r="AI6" s="48">
        <f>AI4*Assumptions!$B$40</f>
        <v>612677.06431800686</v>
      </c>
      <c r="AJ6" s="48">
        <f>AJ4*Assumptions!$B$40</f>
        <v>662238.46800093784</v>
      </c>
      <c r="AK6" s="48">
        <f>AK4*Assumptions!$B$40</f>
        <v>715640.66118106444</v>
      </c>
      <c r="AL6" s="48">
        <f>AL4*Assumptions!$B$40</f>
        <v>773402.15044050803</v>
      </c>
    </row>
    <row r="7" spans="1:38" x14ac:dyDescent="0.2">
      <c r="A7" s="40" t="s">
        <v>116</v>
      </c>
      <c r="B7" s="2"/>
      <c r="C7" s="48">
        <f>C5*Assumptions!$B$40*Assumptions!$B$41</f>
        <v>315</v>
      </c>
      <c r="D7" s="48">
        <f>D5*Assumptions!$B$40*Assumptions!$B$41</f>
        <v>765</v>
      </c>
      <c r="E7" s="48">
        <f>E5*Assumptions!$B$40*Assumptions!$B$41</f>
        <v>1440</v>
      </c>
      <c r="F7" s="48">
        <f>F5*Assumptions!$B$40*Assumptions!$B$41</f>
        <v>495</v>
      </c>
      <c r="G7" s="48">
        <f>G5*Assumptions!$B$40*Assumptions!$B$41</f>
        <v>630</v>
      </c>
      <c r="H7" s="48">
        <f>H5*Assumptions!$B$40*Assumptions!$B$41</f>
        <v>810</v>
      </c>
      <c r="I7" s="48">
        <f>I5*Assumptions!$B$40*Assumptions!$B$41</f>
        <v>990</v>
      </c>
      <c r="J7" s="48">
        <f>J5*Assumptions!$B$40*Assumptions!$B$41</f>
        <v>1215</v>
      </c>
      <c r="K7" s="48">
        <f>K5*Assumptions!$B$40*Assumptions!$B$41</f>
        <v>1575</v>
      </c>
      <c r="L7" s="48">
        <f>L5*Assumptions!$B$40*Assumptions!$B$41</f>
        <v>1935</v>
      </c>
      <c r="M7" s="48">
        <f>M5*Assumptions!$B$40*Assumptions!$B$41</f>
        <v>2385</v>
      </c>
      <c r="N7" s="48">
        <f>N5*Assumptions!$B$40*Assumptions!$B$41</f>
        <v>2835</v>
      </c>
      <c r="O7" s="48">
        <f>O5*Assumptions!$B$40*Assumptions!$B$41</f>
        <v>1170</v>
      </c>
      <c r="P7" s="48">
        <f>P5*Assumptions!$B$40*Assumptions!$B$41</f>
        <v>1395</v>
      </c>
      <c r="Q7" s="48">
        <f>Q5*Assumptions!$B$40*Assumptions!$B$41</f>
        <v>1710</v>
      </c>
      <c r="R7" s="48">
        <f>R5*Assumptions!$B$40*Assumptions!$B$41</f>
        <v>2025</v>
      </c>
      <c r="S7" s="48">
        <f>S5*Assumptions!$B$40*Assumptions!$B$41</f>
        <v>2475</v>
      </c>
      <c r="T7" s="48">
        <f>T5*Assumptions!$B$40*Assumptions!$B$41</f>
        <v>2925</v>
      </c>
      <c r="U7" s="48">
        <f>U5*Assumptions!$B$40*Assumptions!$B$41</f>
        <v>3375</v>
      </c>
      <c r="V7" s="48">
        <f>V5*Assumptions!$B$40*Assumptions!$B$41</f>
        <v>3645</v>
      </c>
      <c r="W7" s="48">
        <f>W5*Assumptions!$B$40*Assumptions!$B$41</f>
        <v>3960</v>
      </c>
      <c r="X7" s="48">
        <f>X5*Assumptions!$B$40*Assumptions!$B$41</f>
        <v>4275</v>
      </c>
      <c r="Y7" s="48">
        <f>Y5*Assumptions!$B$40*Assumptions!$B$41</f>
        <v>4590</v>
      </c>
      <c r="Z7" s="48">
        <f>Z5*Assumptions!$B$40*Assumptions!$B$41</f>
        <v>4995</v>
      </c>
      <c r="AA7" s="48">
        <f>AA5*Assumptions!$B$40*Assumptions!$B$41</f>
        <v>5400</v>
      </c>
      <c r="AB7" s="48">
        <f>AB5*Assumptions!$B$40*Assumptions!$B$41</f>
        <v>5715</v>
      </c>
      <c r="AC7" s="48">
        <f>AC5*Assumptions!$B$40*Assumptions!$B$41</f>
        <v>6075</v>
      </c>
      <c r="AD7" s="48">
        <f>AD5*Assumptions!$B$40*Assumptions!$B$41</f>
        <v>6570</v>
      </c>
      <c r="AE7" s="48">
        <f>AE5*Assumptions!$B$40*Assumptions!$B$41</f>
        <v>7110</v>
      </c>
      <c r="AF7" s="48">
        <f>AF5*Assumptions!$B$40*Assumptions!$B$41</f>
        <v>7650</v>
      </c>
      <c r="AG7" s="48">
        <f>AG5*Assumptions!$B$40*Assumptions!$B$41</f>
        <v>8280</v>
      </c>
      <c r="AH7" s="48">
        <f>AH5*Assumptions!$B$40*Assumptions!$B$41</f>
        <v>8955</v>
      </c>
      <c r="AI7" s="48">
        <f>AI5*Assumptions!$B$40*Assumptions!$B$41</f>
        <v>9675</v>
      </c>
      <c r="AJ7" s="48">
        <f>AJ5*Assumptions!$B$40*Assumptions!$B$41</f>
        <v>10440</v>
      </c>
      <c r="AK7" s="48">
        <f>AK5*Assumptions!$B$40*Assumptions!$B$41</f>
        <v>11295</v>
      </c>
      <c r="AL7" s="48">
        <f>AL5*Assumptions!$B$40*Assumptions!$B$41</f>
        <v>12195</v>
      </c>
    </row>
    <row r="8" spans="1:38" x14ac:dyDescent="0.2">
      <c r="A8" s="40" t="s">
        <v>117</v>
      </c>
      <c r="B8" s="2"/>
      <c r="C8" s="48">
        <f>C6+C7</f>
        <v>465</v>
      </c>
      <c r="D8" s="48">
        <f t="shared" ref="D8:AL8" si="0">D6+D7</f>
        <v>1235.2499999999998</v>
      </c>
      <c r="E8" s="48">
        <f t="shared" si="0"/>
        <v>2273.733749999999</v>
      </c>
      <c r="F8" s="48">
        <f t="shared" si="0"/>
        <v>9766.3238437500004</v>
      </c>
      <c r="G8" s="48">
        <f t="shared" si="0"/>
        <v>12887.37170859375</v>
      </c>
      <c r="H8" s="48">
        <f t="shared" si="0"/>
        <v>15772.305824961326</v>
      </c>
      <c r="I8" s="48">
        <f t="shared" si="0"/>
        <v>19889.842378303667</v>
      </c>
      <c r="J8" s="48">
        <f t="shared" si="0"/>
        <v>24654.560459910161</v>
      </c>
      <c r="K8" s="48">
        <f t="shared" si="0"/>
        <v>31188.461563389948</v>
      </c>
      <c r="L8" s="48">
        <f t="shared" si="0"/>
        <v>38661.490415152679</v>
      </c>
      <c r="M8" s="48">
        <f t="shared" si="0"/>
        <v>47074.950758562038</v>
      </c>
      <c r="N8" s="48">
        <f t="shared" si="0"/>
        <v>55902.980122411442</v>
      </c>
      <c r="O8" s="48">
        <f t="shared" si="0"/>
        <v>74278.275649954012</v>
      </c>
      <c r="P8" s="48">
        <f t="shared" si="0"/>
        <v>90352.637671193661</v>
      </c>
      <c r="Q8" s="48">
        <f t="shared" si="0"/>
        <v>108583.10614721222</v>
      </c>
      <c r="R8" s="48">
        <f t="shared" si="0"/>
        <v>131744.55503033497</v>
      </c>
      <c r="S8" s="48">
        <f t="shared" si="0"/>
        <v>158681.45491216035</v>
      </c>
      <c r="T8" s="48">
        <f t="shared" si="0"/>
        <v>187331.62012608224</v>
      </c>
      <c r="U8" s="48">
        <f t="shared" si="0"/>
        <v>217319.13091104655</v>
      </c>
      <c r="V8" s="48">
        <f t="shared" si="0"/>
        <v>234921.58858403782</v>
      </c>
      <c r="W8" s="48">
        <f t="shared" si="0"/>
        <v>253858.92804288294</v>
      </c>
      <c r="X8" s="48">
        <f t="shared" si="0"/>
        <v>274410.28332867217</v>
      </c>
      <c r="Y8" s="48">
        <f t="shared" si="0"/>
        <v>296643.54657804291</v>
      </c>
      <c r="Z8" s="48">
        <f t="shared" si="0"/>
        <v>320575.77536607871</v>
      </c>
      <c r="AA8" s="48">
        <f t="shared" si="0"/>
        <v>346484.18004049925</v>
      </c>
      <c r="AB8" s="48">
        <f t="shared" si="0"/>
        <v>367945.54434596666</v>
      </c>
      <c r="AC8" s="48">
        <f t="shared" si="0"/>
        <v>390656.66783267219</v>
      </c>
      <c r="AD8" s="48">
        <f t="shared" si="0"/>
        <v>422220.1929900829</v>
      </c>
      <c r="AE8" s="48">
        <f t="shared" si="0"/>
        <v>456222.96904374409</v>
      </c>
      <c r="AF8" s="48">
        <f t="shared" si="0"/>
        <v>493093.21986464952</v>
      </c>
      <c r="AG8" s="48">
        <f t="shared" si="0"/>
        <v>532858.05454637727</v>
      </c>
      <c r="AH8" s="48">
        <f t="shared" si="0"/>
        <v>575851.09191013814</v>
      </c>
      <c r="AI8" s="48">
        <f t="shared" si="0"/>
        <v>622352.06431800686</v>
      </c>
      <c r="AJ8" s="48">
        <f t="shared" si="0"/>
        <v>672678.46800093784</v>
      </c>
      <c r="AK8" s="48">
        <f t="shared" si="0"/>
        <v>726935.66118106444</v>
      </c>
      <c r="AL8" s="48">
        <f t="shared" si="0"/>
        <v>785597.15044050803</v>
      </c>
    </row>
    <row r="9" spans="1:38" x14ac:dyDescent="0.2">
      <c r="A9" s="40" t="s">
        <v>118</v>
      </c>
      <c r="B9" s="2"/>
      <c r="C9" s="50">
        <f>C8*Assumptions!$B$42/1000000</f>
        <v>1.5345</v>
      </c>
      <c r="D9" s="50">
        <f>D8*Assumptions!$B$42/1000000</f>
        <v>4.0763249999999989</v>
      </c>
      <c r="E9" s="50">
        <f>E8*Assumptions!$B$42/1000000</f>
        <v>7.5033213749999961</v>
      </c>
      <c r="F9" s="50">
        <f>F8*Assumptions!$B$42/1000000</f>
        <v>32.228868684375001</v>
      </c>
      <c r="G9" s="50">
        <f>G8*Assumptions!$B$42/1000000</f>
        <v>42.528326638359374</v>
      </c>
      <c r="H9" s="50">
        <f>H8*Assumptions!$B$42/1000000</f>
        <v>52.048609222372377</v>
      </c>
      <c r="I9" s="50">
        <f>I8*Assumptions!$B$42/1000000</f>
        <v>65.636479848402104</v>
      </c>
      <c r="J9" s="50">
        <f>J8*Assumptions!$B$42/1000000</f>
        <v>81.36004951770353</v>
      </c>
      <c r="K9" s="50">
        <f>K8*Assumptions!$B$42/1000000</f>
        <v>102.92192315918683</v>
      </c>
      <c r="L9" s="50">
        <f>L8*Assumptions!$B$42/1000000</f>
        <v>127.58291837000384</v>
      </c>
      <c r="M9" s="50">
        <f>M8*Assumptions!$B$42/1000000</f>
        <v>155.34733750325472</v>
      </c>
      <c r="N9" s="50">
        <f>N8*Assumptions!$B$42/1000000</f>
        <v>184.47983440395777</v>
      </c>
      <c r="O9" s="50">
        <f>O8*Assumptions!$B$42/1000000</f>
        <v>245.11830964484824</v>
      </c>
      <c r="P9" s="50">
        <f>P8*Assumptions!$B$42/1000000</f>
        <v>298.16370431493908</v>
      </c>
      <c r="Q9" s="50">
        <f>Q8*Assumptions!$B$42/1000000</f>
        <v>358.32425028580036</v>
      </c>
      <c r="R9" s="50">
        <f>R8*Assumptions!$B$42/1000000</f>
        <v>434.75703160010539</v>
      </c>
      <c r="S9" s="50">
        <f>S8*Assumptions!$B$42/1000000</f>
        <v>523.64880121012914</v>
      </c>
      <c r="T9" s="50">
        <f>T8*Assumptions!$B$42/1000000</f>
        <v>618.19434641607143</v>
      </c>
      <c r="U9" s="50">
        <f>U8*Assumptions!$B$42/1000000</f>
        <v>717.15313200645369</v>
      </c>
      <c r="V9" s="50">
        <f>V8*Assumptions!$B$42/1000000</f>
        <v>775.2412423273247</v>
      </c>
      <c r="W9" s="50">
        <f>W8*Assumptions!$B$42/1000000</f>
        <v>837.73446254151372</v>
      </c>
      <c r="X9" s="50">
        <f>X8*Assumptions!$B$42/1000000</f>
        <v>905.55393498461819</v>
      </c>
      <c r="Y9" s="50">
        <f>Y8*Assumptions!$B$42/1000000</f>
        <v>978.92370370754156</v>
      </c>
      <c r="Z9" s="50">
        <f>Z8*Assumptions!$B$42/1000000</f>
        <v>1057.9000587080598</v>
      </c>
      <c r="AA9" s="50">
        <f>AA8*Assumptions!$B$42/1000000</f>
        <v>1143.3977941336475</v>
      </c>
      <c r="AB9" s="50">
        <f>AB8*Assumptions!$B$42/1000000</f>
        <v>1214.2202963416901</v>
      </c>
      <c r="AC9" s="50">
        <f>AC8*Assumptions!$B$42/1000000</f>
        <v>1289.167003847818</v>
      </c>
      <c r="AD9" s="50">
        <f>AD8*Assumptions!$B$42/1000000</f>
        <v>1393.3266368672735</v>
      </c>
      <c r="AE9" s="50">
        <f>AE8*Assumptions!$B$42/1000000</f>
        <v>1505.5357978443556</v>
      </c>
      <c r="AF9" s="50">
        <f>AF8*Assumptions!$B$42/1000000</f>
        <v>1627.2076255533436</v>
      </c>
      <c r="AG9" s="50">
        <f>AG8*Assumptions!$B$42/1000000</f>
        <v>1758.4315800030452</v>
      </c>
      <c r="AH9" s="50">
        <f>AH8*Assumptions!$B$42/1000000</f>
        <v>1900.3086033034558</v>
      </c>
      <c r="AI9" s="50">
        <f>AI8*Assumptions!$B$42/1000000</f>
        <v>2053.7618122494227</v>
      </c>
      <c r="AJ9" s="50">
        <f>AJ8*Assumptions!$B$42/1000000</f>
        <v>2219.838944403095</v>
      </c>
      <c r="AK9" s="50">
        <f>AK8*Assumptions!$B$42/1000000</f>
        <v>2398.8876818975123</v>
      </c>
      <c r="AL9" s="50">
        <f>AL8*Assumptions!$B$42/1000000</f>
        <v>2592.4705964536765</v>
      </c>
    </row>
    <row r="10" spans="1:38" x14ac:dyDescent="0.2">
      <c r="A10" s="40" t="s">
        <v>119</v>
      </c>
      <c r="B10" s="2"/>
      <c r="C10" s="50">
        <f>C8*Assumptions!$B$43/1000000</f>
        <v>0.1023</v>
      </c>
      <c r="D10" s="50">
        <f>D8*Assumptions!$B$43/1000000</f>
        <v>0.27175499999999997</v>
      </c>
      <c r="E10" s="50">
        <f>E8*Assumptions!$B$43/1000000</f>
        <v>0.50022142499999978</v>
      </c>
      <c r="F10" s="50">
        <f>F8*Assumptions!$B$43/1000000</f>
        <v>2.148591245625</v>
      </c>
      <c r="G10" s="50">
        <f>G8*Assumptions!$B$43/1000000</f>
        <v>2.8352217758906253</v>
      </c>
      <c r="H10" s="50">
        <f>H8*Assumptions!$B$43/1000000</f>
        <v>3.4699072814914915</v>
      </c>
      <c r="I10" s="50">
        <f>I8*Assumptions!$B$43/1000000</f>
        <v>4.3757653232268066</v>
      </c>
      <c r="J10" s="50">
        <f>J8*Assumptions!$B$43/1000000</f>
        <v>5.4240033011802353</v>
      </c>
      <c r="K10" s="50">
        <f>K8*Assumptions!$B$43/1000000</f>
        <v>6.8614615439457882</v>
      </c>
      <c r="L10" s="50">
        <f>L8*Assumptions!$B$43/1000000</f>
        <v>8.505527891333589</v>
      </c>
      <c r="M10" s="50">
        <f>M8*Assumptions!$B$43/1000000</f>
        <v>10.356489166883648</v>
      </c>
      <c r="N10" s="50">
        <f>N8*Assumptions!$B$43/1000000</f>
        <v>12.298655626930518</v>
      </c>
      <c r="O10" s="50">
        <f>O8*Assumptions!$B$43/1000000</f>
        <v>16.341220642989882</v>
      </c>
      <c r="P10" s="50">
        <f>P8*Assumptions!$B$43/1000000</f>
        <v>19.877580287662607</v>
      </c>
      <c r="Q10" s="50">
        <f>Q8*Assumptions!$B$43/1000000</f>
        <v>23.88828335238669</v>
      </c>
      <c r="R10" s="50">
        <f>R8*Assumptions!$B$43/1000000</f>
        <v>28.983802106673696</v>
      </c>
      <c r="S10" s="50">
        <f>S8*Assumptions!$B$43/1000000</f>
        <v>34.909920080675278</v>
      </c>
      <c r="T10" s="50">
        <f>T8*Assumptions!$B$43/1000000</f>
        <v>41.212956427738092</v>
      </c>
      <c r="U10" s="50">
        <f>U8*Assumptions!$B$43/1000000</f>
        <v>47.810208800430239</v>
      </c>
      <c r="V10" s="50">
        <f>V8*Assumptions!$B$43/1000000</f>
        <v>51.682749488488319</v>
      </c>
      <c r="W10" s="50">
        <f>W8*Assumptions!$B$43/1000000</f>
        <v>55.848964169434247</v>
      </c>
      <c r="X10" s="50">
        <f>X8*Assumptions!$B$43/1000000</f>
        <v>60.370262332307874</v>
      </c>
      <c r="Y10" s="50">
        <f>Y8*Assumptions!$B$43/1000000</f>
        <v>65.261580247169448</v>
      </c>
      <c r="Z10" s="50">
        <f>Z8*Assumptions!$B$43/1000000</f>
        <v>70.526670580537314</v>
      </c>
      <c r="AA10" s="50">
        <f>AA8*Assumptions!$B$43/1000000</f>
        <v>76.226519608909825</v>
      </c>
      <c r="AB10" s="50">
        <f>AB8*Assumptions!$B$43/1000000</f>
        <v>80.948019756112672</v>
      </c>
      <c r="AC10" s="50">
        <f>AC8*Assumptions!$B$43/1000000</f>
        <v>85.944466923187875</v>
      </c>
      <c r="AD10" s="50">
        <f>AD8*Assumptions!$B$43/1000000</f>
        <v>92.888442457818243</v>
      </c>
      <c r="AE10" s="50">
        <f>AE8*Assumptions!$B$43/1000000</f>
        <v>100.3690531896237</v>
      </c>
      <c r="AF10" s="50">
        <f>AF8*Assumptions!$B$43/1000000</f>
        <v>108.48050837022289</v>
      </c>
      <c r="AG10" s="50">
        <f>AG8*Assumptions!$B$43/1000000</f>
        <v>117.22877200020299</v>
      </c>
      <c r="AH10" s="50">
        <f>AH8*Assumptions!$B$43/1000000</f>
        <v>126.68724022023038</v>
      </c>
      <c r="AI10" s="50">
        <f>AI8*Assumptions!$B$43/1000000</f>
        <v>136.91745414996151</v>
      </c>
      <c r="AJ10" s="50">
        <f>AJ8*Assumptions!$B$43/1000000</f>
        <v>147.98926296020633</v>
      </c>
      <c r="AK10" s="50">
        <f>AK8*Assumptions!$B$43/1000000</f>
        <v>159.92584545983419</v>
      </c>
      <c r="AL10" s="50">
        <f>AL8*Assumptions!$B$43/1000000</f>
        <v>172.83137309691176</v>
      </c>
    </row>
    <row r="11" spans="1:38" x14ac:dyDescent="0.2">
      <c r="A11" s="40" t="s">
        <v>120</v>
      </c>
      <c r="B11" s="2"/>
      <c r="C11" s="50">
        <f>(1-Assumptions!$B$49)^(C1-1)</f>
        <v>0</v>
      </c>
      <c r="D11" s="50">
        <f>(1-Assumptions!$B$49)^(D1-1)</f>
        <v>0</v>
      </c>
      <c r="E11" s="50">
        <f>(1-Assumptions!$B$49)^(E1-1)</f>
        <v>0</v>
      </c>
      <c r="F11" s="50">
        <f>(1-Assumptions!$B$49)^(F1-1)</f>
        <v>0</v>
      </c>
      <c r="G11" s="50">
        <f>(1-Assumptions!$B$49)^(G1-1)</f>
        <v>0</v>
      </c>
      <c r="H11" s="50">
        <f>(1-Assumptions!$B$49)^(H1-1)</f>
        <v>0</v>
      </c>
      <c r="I11" s="50">
        <f>(1-Assumptions!$B$49)^(I1-1)</f>
        <v>0</v>
      </c>
      <c r="J11" s="50">
        <f>(1-Assumptions!$B$49)^(J1-1)</f>
        <v>0</v>
      </c>
      <c r="K11" s="50">
        <f>(1-Assumptions!$B$49)^(K1-1)</f>
        <v>0</v>
      </c>
      <c r="L11" s="50">
        <f>(1-Assumptions!$B$49)^(L1-1)</f>
        <v>0</v>
      </c>
      <c r="M11" s="50">
        <f>(1-Assumptions!$B$49)^(M1-1)</f>
        <v>0</v>
      </c>
      <c r="N11" s="50">
        <f>(1-Assumptions!$B$49)^(N1-1)</f>
        <v>0</v>
      </c>
      <c r="O11" s="50">
        <f>(1-Assumptions!$B$49)^(O1-1)</f>
        <v>0</v>
      </c>
      <c r="P11" s="50">
        <f>(1-Assumptions!$B$49)^(P1-1)</f>
        <v>0</v>
      </c>
      <c r="Q11" s="50">
        <f>(1-Assumptions!$B$49)^(Q1-1)</f>
        <v>0</v>
      </c>
      <c r="R11" s="50">
        <f>(1-Assumptions!$B$49)^(R1-1)</f>
        <v>0</v>
      </c>
      <c r="S11" s="50">
        <f>(1-Assumptions!$B$49)^(S1-1)</f>
        <v>0</v>
      </c>
      <c r="T11" s="50">
        <f>(1-Assumptions!$B$49)^(T1-1)</f>
        <v>0</v>
      </c>
      <c r="U11" s="50">
        <f>(1-Assumptions!$B$49)^(U1-1)</f>
        <v>0</v>
      </c>
      <c r="V11" s="50">
        <f>(1-Assumptions!$B$49)^(V1-1)</f>
        <v>0</v>
      </c>
      <c r="W11" s="50">
        <f>(1-Assumptions!$B$49)^(W1-1)</f>
        <v>0</v>
      </c>
      <c r="X11" s="50">
        <f>(1-Assumptions!$B$49)^(X1-1)</f>
        <v>0</v>
      </c>
      <c r="Y11" s="50">
        <f>(1-Assumptions!$B$49)^(Y1-1)</f>
        <v>0</v>
      </c>
      <c r="Z11" s="50">
        <f>(1-Assumptions!$B$49)^(Z1-1)</f>
        <v>0</v>
      </c>
      <c r="AA11" s="50">
        <f>(1-Assumptions!$B$49)^(AA1-1)</f>
        <v>0</v>
      </c>
      <c r="AB11" s="50">
        <f>(1-Assumptions!$B$49)^(AB1-1)</f>
        <v>0</v>
      </c>
      <c r="AC11" s="50">
        <f>(1-Assumptions!$B$49)^(AC1-1)</f>
        <v>0</v>
      </c>
      <c r="AD11" s="50">
        <f>(1-Assumptions!$B$49)^(AD1-1)</f>
        <v>0</v>
      </c>
      <c r="AE11" s="50">
        <f>(1-Assumptions!$B$49)^(AE1-1)</f>
        <v>0</v>
      </c>
      <c r="AF11" s="50">
        <f>(1-Assumptions!$B$49)^(AF1-1)</f>
        <v>0</v>
      </c>
      <c r="AG11" s="50">
        <f>(1-Assumptions!$B$49)^(AG1-1)</f>
        <v>0</v>
      </c>
      <c r="AH11" s="50">
        <f>(1-Assumptions!$B$49)^(AH1-1)</f>
        <v>0</v>
      </c>
      <c r="AI11" s="50">
        <f>(1-Assumptions!$B$49)^(AI1-1)</f>
        <v>0</v>
      </c>
      <c r="AJ11" s="50">
        <f>(1-Assumptions!$B$49)^(AJ1-1)</f>
        <v>0</v>
      </c>
      <c r="AK11" s="50">
        <f>(1-Assumptions!$B$49)^(AK1-1)</f>
        <v>0</v>
      </c>
      <c r="AL11" s="50">
        <f>(1-Assumptions!$B$49)^(AL1-1)</f>
        <v>0</v>
      </c>
    </row>
    <row r="12" spans="1:38" x14ac:dyDescent="0.2">
      <c r="A12" s="40" t="s">
        <v>121</v>
      </c>
      <c r="B12" s="2"/>
      <c r="C12" s="50">
        <f>Assumptions!$B$44*Assumptions!$B$45+(1-Assumptions!$B$44)*Assumptions!$B$47</f>
        <v>0.79999999999999982</v>
      </c>
      <c r="D12" s="50">
        <f>Assumptions!$B$44*Assumptions!$B$45+(1-Assumptions!$B$44)*Assumptions!$B$47</f>
        <v>0.79999999999999982</v>
      </c>
      <c r="E12" s="50">
        <f>Assumptions!$B$44*Assumptions!$B$45+(1-Assumptions!$B$44)*Assumptions!$B$47</f>
        <v>0.79999999999999982</v>
      </c>
      <c r="F12" s="50">
        <f>Assumptions!$B$44*Assumptions!$B$45+(1-Assumptions!$B$44)*Assumptions!$B$47</f>
        <v>0.79999999999999982</v>
      </c>
      <c r="G12" s="50">
        <f>Assumptions!$B$44*Assumptions!$B$45+(1-Assumptions!$B$44)*Assumptions!$B$47</f>
        <v>0.79999999999999982</v>
      </c>
      <c r="H12" s="50">
        <f>Assumptions!$B$44*Assumptions!$B$45+(1-Assumptions!$B$44)*Assumptions!$B$47</f>
        <v>0.79999999999999982</v>
      </c>
      <c r="I12" s="50">
        <f>Assumptions!$B$44*Assumptions!$B$45+(1-Assumptions!$B$44)*Assumptions!$B$47</f>
        <v>0.79999999999999982</v>
      </c>
      <c r="J12" s="50">
        <f>Assumptions!$B$44*Assumptions!$B$45+(1-Assumptions!$B$44)*Assumptions!$B$47</f>
        <v>0.79999999999999982</v>
      </c>
      <c r="K12" s="50">
        <f>Assumptions!$B$44*Assumptions!$B$45+(1-Assumptions!$B$44)*Assumptions!$B$47</f>
        <v>0.79999999999999982</v>
      </c>
      <c r="L12" s="50">
        <f>Assumptions!$B$44*Assumptions!$B$45+(1-Assumptions!$B$44)*Assumptions!$B$47</f>
        <v>0.79999999999999982</v>
      </c>
      <c r="M12" s="50">
        <f>Assumptions!$B$44*Assumptions!$B$45+(1-Assumptions!$B$44)*Assumptions!$B$47</f>
        <v>0.79999999999999982</v>
      </c>
      <c r="N12" s="50">
        <f>Assumptions!$B$44*Assumptions!$B$45+(1-Assumptions!$B$44)*Assumptions!$B$47</f>
        <v>0.79999999999999982</v>
      </c>
      <c r="O12" s="50">
        <f>Assumptions!$B$44*Assumptions!$B$45+(1-Assumptions!$B$44)*Assumptions!$B$47</f>
        <v>0.79999999999999982</v>
      </c>
      <c r="P12" s="50">
        <f>Assumptions!$B$44*Assumptions!$B$45+(1-Assumptions!$B$44)*Assumptions!$B$47</f>
        <v>0.79999999999999982</v>
      </c>
      <c r="Q12" s="50">
        <f>Assumptions!$B$44*Assumptions!$B$45+(1-Assumptions!$B$44)*Assumptions!$B$47</f>
        <v>0.79999999999999982</v>
      </c>
      <c r="R12" s="50">
        <f>Assumptions!$B$44*Assumptions!$B$45+(1-Assumptions!$B$44)*Assumptions!$B$47</f>
        <v>0.79999999999999982</v>
      </c>
      <c r="S12" s="50">
        <f>Assumptions!$B$44*Assumptions!$B$45+(1-Assumptions!$B$44)*Assumptions!$B$47</f>
        <v>0.79999999999999982</v>
      </c>
      <c r="T12" s="50">
        <f>Assumptions!$B$44*Assumptions!$B$45+(1-Assumptions!$B$44)*Assumptions!$B$47</f>
        <v>0.79999999999999982</v>
      </c>
      <c r="U12" s="50">
        <f>Assumptions!$B$44*Assumptions!$B$45+(1-Assumptions!$B$44)*Assumptions!$B$47</f>
        <v>0.79999999999999982</v>
      </c>
      <c r="V12" s="50">
        <f>Assumptions!$B$44*Assumptions!$B$45+(1-Assumptions!$B$44)*Assumptions!$B$47</f>
        <v>0.79999999999999982</v>
      </c>
      <c r="W12" s="50">
        <f>Assumptions!$B$44*Assumptions!$B$45+(1-Assumptions!$B$44)*Assumptions!$B$47</f>
        <v>0.79999999999999982</v>
      </c>
      <c r="X12" s="50">
        <f>Assumptions!$B$44*Assumptions!$B$45+(1-Assumptions!$B$44)*Assumptions!$B$47</f>
        <v>0.79999999999999982</v>
      </c>
      <c r="Y12" s="50">
        <f>Assumptions!$B$44*Assumptions!$B$45+(1-Assumptions!$B$44)*Assumptions!$B$47</f>
        <v>0.79999999999999982</v>
      </c>
      <c r="Z12" s="50">
        <f>Assumptions!$B$44*Assumptions!$B$45+(1-Assumptions!$B$44)*Assumptions!$B$47</f>
        <v>0.79999999999999982</v>
      </c>
      <c r="AA12" s="50">
        <f>Assumptions!$B$44*Assumptions!$B$45+(1-Assumptions!$B$44)*Assumptions!$B$47</f>
        <v>0.79999999999999982</v>
      </c>
      <c r="AB12" s="50">
        <f>Assumptions!$B$44*Assumptions!$B$45+(1-Assumptions!$B$44)*Assumptions!$B$47</f>
        <v>0.79999999999999982</v>
      </c>
      <c r="AC12" s="50">
        <f>Assumptions!$B$44*Assumptions!$B$45+(1-Assumptions!$B$44)*Assumptions!$B$47</f>
        <v>0.79999999999999982</v>
      </c>
      <c r="AD12" s="50">
        <f>Assumptions!$B$44*Assumptions!$B$45+(1-Assumptions!$B$44)*Assumptions!$B$47</f>
        <v>0.79999999999999982</v>
      </c>
      <c r="AE12" s="50">
        <f>Assumptions!$B$44*Assumptions!$B$45+(1-Assumptions!$B$44)*Assumptions!$B$47</f>
        <v>0.79999999999999982</v>
      </c>
      <c r="AF12" s="50">
        <f>Assumptions!$B$44*Assumptions!$B$45+(1-Assumptions!$B$44)*Assumptions!$B$47</f>
        <v>0.79999999999999982</v>
      </c>
      <c r="AG12" s="50">
        <f>Assumptions!$B$44*Assumptions!$B$45+(1-Assumptions!$B$44)*Assumptions!$B$47</f>
        <v>0.79999999999999982</v>
      </c>
      <c r="AH12" s="50">
        <f>Assumptions!$B$44*Assumptions!$B$45+(1-Assumptions!$B$44)*Assumptions!$B$47</f>
        <v>0.79999999999999982</v>
      </c>
      <c r="AI12" s="50">
        <f>Assumptions!$B$44*Assumptions!$B$45+(1-Assumptions!$B$44)*Assumptions!$B$47</f>
        <v>0.79999999999999982</v>
      </c>
      <c r="AJ12" s="50">
        <f>Assumptions!$B$44*Assumptions!$B$45+(1-Assumptions!$B$44)*Assumptions!$B$47</f>
        <v>0.79999999999999982</v>
      </c>
      <c r="AK12" s="50">
        <f>Assumptions!$B$44*Assumptions!$B$45+(1-Assumptions!$B$44)*Assumptions!$B$47</f>
        <v>0.79999999999999982</v>
      </c>
      <c r="AL12" s="50">
        <f>Assumptions!$B$44*Assumptions!$B$45+(1-Assumptions!$B$44)*Assumptions!$B$47</f>
        <v>0.79999999999999982</v>
      </c>
    </row>
    <row r="13" spans="1:38" x14ac:dyDescent="0.2">
      <c r="A13" s="40" t="s">
        <v>122</v>
      </c>
      <c r="B13" s="2"/>
      <c r="C13" s="50">
        <f>Assumptions!$B$44*Assumptions!$B$46+(1-Assumptions!$B$44)*Assumptions!$B$48</f>
        <v>3.9999999999999991</v>
      </c>
      <c r="D13" s="50">
        <f>Assumptions!$B$44*Assumptions!$B$46+(1-Assumptions!$B$44)*Assumptions!$B$48</f>
        <v>3.9999999999999991</v>
      </c>
      <c r="E13" s="50">
        <f>Assumptions!$B$44*Assumptions!$B$46+(1-Assumptions!$B$44)*Assumptions!$B$48</f>
        <v>3.9999999999999991</v>
      </c>
      <c r="F13" s="50">
        <f>Assumptions!$B$44*Assumptions!$B$46+(1-Assumptions!$B$44)*Assumptions!$B$48</f>
        <v>3.9999999999999991</v>
      </c>
      <c r="G13" s="50">
        <f>Assumptions!$B$44*Assumptions!$B$46+(1-Assumptions!$B$44)*Assumptions!$B$48</f>
        <v>3.9999999999999991</v>
      </c>
      <c r="H13" s="50">
        <f>Assumptions!$B$44*Assumptions!$B$46+(1-Assumptions!$B$44)*Assumptions!$B$48</f>
        <v>3.9999999999999991</v>
      </c>
      <c r="I13" s="50">
        <f>Assumptions!$B$44*Assumptions!$B$46+(1-Assumptions!$B$44)*Assumptions!$B$48</f>
        <v>3.9999999999999991</v>
      </c>
      <c r="J13" s="50">
        <f>Assumptions!$B$44*Assumptions!$B$46+(1-Assumptions!$B$44)*Assumptions!$B$48</f>
        <v>3.9999999999999991</v>
      </c>
      <c r="K13" s="50">
        <f>Assumptions!$B$44*Assumptions!$B$46+(1-Assumptions!$B$44)*Assumptions!$B$48</f>
        <v>3.9999999999999991</v>
      </c>
      <c r="L13" s="50">
        <f>Assumptions!$B$44*Assumptions!$B$46+(1-Assumptions!$B$44)*Assumptions!$B$48</f>
        <v>3.9999999999999991</v>
      </c>
      <c r="M13" s="50">
        <f>Assumptions!$B$44*Assumptions!$B$46+(1-Assumptions!$B$44)*Assumptions!$B$48</f>
        <v>3.9999999999999991</v>
      </c>
      <c r="N13" s="50">
        <f>Assumptions!$B$44*Assumptions!$B$46+(1-Assumptions!$B$44)*Assumptions!$B$48</f>
        <v>3.9999999999999991</v>
      </c>
      <c r="O13" s="50">
        <f>Assumptions!$B$44*Assumptions!$B$46+(1-Assumptions!$B$44)*Assumptions!$B$48</f>
        <v>3.9999999999999991</v>
      </c>
      <c r="P13" s="50">
        <f>Assumptions!$B$44*Assumptions!$B$46+(1-Assumptions!$B$44)*Assumptions!$B$48</f>
        <v>3.9999999999999991</v>
      </c>
      <c r="Q13" s="50">
        <f>Assumptions!$B$44*Assumptions!$B$46+(1-Assumptions!$B$44)*Assumptions!$B$48</f>
        <v>3.9999999999999991</v>
      </c>
      <c r="R13" s="50">
        <f>Assumptions!$B$44*Assumptions!$B$46+(1-Assumptions!$B$44)*Assumptions!$B$48</f>
        <v>3.9999999999999991</v>
      </c>
      <c r="S13" s="50">
        <f>Assumptions!$B$44*Assumptions!$B$46+(1-Assumptions!$B$44)*Assumptions!$B$48</f>
        <v>3.9999999999999991</v>
      </c>
      <c r="T13" s="50">
        <f>Assumptions!$B$44*Assumptions!$B$46+(1-Assumptions!$B$44)*Assumptions!$B$48</f>
        <v>3.9999999999999991</v>
      </c>
      <c r="U13" s="50">
        <f>Assumptions!$B$44*Assumptions!$B$46+(1-Assumptions!$B$44)*Assumptions!$B$48</f>
        <v>3.9999999999999991</v>
      </c>
      <c r="V13" s="50">
        <f>Assumptions!$B$44*Assumptions!$B$46+(1-Assumptions!$B$44)*Assumptions!$B$48</f>
        <v>3.9999999999999991</v>
      </c>
      <c r="W13" s="50">
        <f>Assumptions!$B$44*Assumptions!$B$46+(1-Assumptions!$B$44)*Assumptions!$B$48</f>
        <v>3.9999999999999991</v>
      </c>
      <c r="X13" s="50">
        <f>Assumptions!$B$44*Assumptions!$B$46+(1-Assumptions!$B$44)*Assumptions!$B$48</f>
        <v>3.9999999999999991</v>
      </c>
      <c r="Y13" s="50">
        <f>Assumptions!$B$44*Assumptions!$B$46+(1-Assumptions!$B$44)*Assumptions!$B$48</f>
        <v>3.9999999999999991</v>
      </c>
      <c r="Z13" s="50">
        <f>Assumptions!$B$44*Assumptions!$B$46+(1-Assumptions!$B$44)*Assumptions!$B$48</f>
        <v>3.9999999999999991</v>
      </c>
      <c r="AA13" s="50">
        <f>Assumptions!$B$44*Assumptions!$B$46+(1-Assumptions!$B$44)*Assumptions!$B$48</f>
        <v>3.9999999999999991</v>
      </c>
      <c r="AB13" s="50">
        <f>Assumptions!$B$44*Assumptions!$B$46+(1-Assumptions!$B$44)*Assumptions!$B$48</f>
        <v>3.9999999999999991</v>
      </c>
      <c r="AC13" s="50">
        <f>Assumptions!$B$44*Assumptions!$B$46+(1-Assumptions!$B$44)*Assumptions!$B$48</f>
        <v>3.9999999999999991</v>
      </c>
      <c r="AD13" s="50">
        <f>Assumptions!$B$44*Assumptions!$B$46+(1-Assumptions!$B$44)*Assumptions!$B$48</f>
        <v>3.9999999999999991</v>
      </c>
      <c r="AE13" s="50">
        <f>Assumptions!$B$44*Assumptions!$B$46+(1-Assumptions!$B$44)*Assumptions!$B$48</f>
        <v>3.9999999999999991</v>
      </c>
      <c r="AF13" s="50">
        <f>Assumptions!$B$44*Assumptions!$B$46+(1-Assumptions!$B$44)*Assumptions!$B$48</f>
        <v>3.9999999999999991</v>
      </c>
      <c r="AG13" s="50">
        <f>Assumptions!$B$44*Assumptions!$B$46+(1-Assumptions!$B$44)*Assumptions!$B$48</f>
        <v>3.9999999999999991</v>
      </c>
      <c r="AH13" s="50">
        <f>Assumptions!$B$44*Assumptions!$B$46+(1-Assumptions!$B$44)*Assumptions!$B$48</f>
        <v>3.9999999999999991</v>
      </c>
      <c r="AI13" s="50">
        <f>Assumptions!$B$44*Assumptions!$B$46+(1-Assumptions!$B$44)*Assumptions!$B$48</f>
        <v>3.9999999999999991</v>
      </c>
      <c r="AJ13" s="50">
        <f>Assumptions!$B$44*Assumptions!$B$46+(1-Assumptions!$B$44)*Assumptions!$B$48</f>
        <v>3.9999999999999991</v>
      </c>
      <c r="AK13" s="50">
        <f>Assumptions!$B$44*Assumptions!$B$46+(1-Assumptions!$B$44)*Assumptions!$B$48</f>
        <v>3.9999999999999991</v>
      </c>
      <c r="AL13" s="50">
        <f>Assumptions!$B$44*Assumptions!$B$46+(1-Assumptions!$B$44)*Assumptions!$B$48</f>
        <v>3.9999999999999991</v>
      </c>
    </row>
    <row r="14" spans="1:38" x14ac:dyDescent="0.2">
      <c r="A14" s="40" t="s">
        <v>123</v>
      </c>
      <c r="B14" s="2"/>
      <c r="C14" s="48">
        <f>(C9*C12*C11+C10*C13*C11)*Assumptions!$B$50</f>
        <v>0</v>
      </c>
      <c r="D14" s="48">
        <f>(D9*D12*D11+D10*D13*D11)*Assumptions!$B$50</f>
        <v>0</v>
      </c>
      <c r="E14" s="48">
        <f>(E9*E12*E11+E10*E13*E11)*Assumptions!$B$50</f>
        <v>0</v>
      </c>
      <c r="F14" s="48">
        <f>(F9*F12*F11+F10*F13*F11)*Assumptions!$B$50</f>
        <v>0</v>
      </c>
      <c r="G14" s="48">
        <f>(G9*G12*G11+G10*G13*G11)*Assumptions!$B$50</f>
        <v>0</v>
      </c>
      <c r="H14" s="48">
        <f>(H9*H12*H11+H10*H13*H11)*Assumptions!$B$50</f>
        <v>0</v>
      </c>
      <c r="I14" s="48">
        <f>(I9*I12*I11+I10*I13*I11)*Assumptions!$B$50</f>
        <v>0</v>
      </c>
      <c r="J14" s="48">
        <f>(J9*J12*J11+J10*J13*J11)*Assumptions!$B$50</f>
        <v>0</v>
      </c>
      <c r="K14" s="48">
        <f>(K9*K12*K11+K10*K13*K11)*Assumptions!$B$50</f>
        <v>0</v>
      </c>
      <c r="L14" s="48">
        <f>(L9*L12*L11+L10*L13*L11)*Assumptions!$B$50</f>
        <v>0</v>
      </c>
      <c r="M14" s="48">
        <f>(M9*M12*M11+M10*M13*M11)*Assumptions!$B$50</f>
        <v>0</v>
      </c>
      <c r="N14" s="48">
        <f>(N9*N12*N11+N10*N13*N11)*Assumptions!$B$50</f>
        <v>0</v>
      </c>
      <c r="O14" s="48">
        <f>(O9*O12*O11+O10*O13*O11)*Assumptions!$B$50</f>
        <v>0</v>
      </c>
      <c r="P14" s="48">
        <f>(P9*P12*P11+P10*P13*P11)*Assumptions!$B$50</f>
        <v>0</v>
      </c>
      <c r="Q14" s="48">
        <f>(Q9*Q12*Q11+Q10*Q13*Q11)*Assumptions!$B$50</f>
        <v>0</v>
      </c>
      <c r="R14" s="48">
        <f>(R9*R12*R11+R10*R13*R11)*Assumptions!$B$50</f>
        <v>0</v>
      </c>
      <c r="S14" s="48">
        <f>(S9*S12*S11+S10*S13*S11)*Assumptions!$B$50</f>
        <v>0</v>
      </c>
      <c r="T14" s="48">
        <f>(T9*T12*T11+T10*T13*T11)*Assumptions!$B$50</f>
        <v>0</v>
      </c>
      <c r="U14" s="48">
        <f>(U9*U12*U11+U10*U13*U11)*Assumptions!$B$50</f>
        <v>0</v>
      </c>
      <c r="V14" s="48">
        <f>(V9*V12*V11+V10*V13*V11)*Assumptions!$B$50</f>
        <v>0</v>
      </c>
      <c r="W14" s="48">
        <f>(W9*W12*W11+W10*W13*W11)*Assumptions!$B$50</f>
        <v>0</v>
      </c>
      <c r="X14" s="48">
        <f>(X9*X12*X11+X10*X13*X11)*Assumptions!$B$50</f>
        <v>0</v>
      </c>
      <c r="Y14" s="48">
        <f>(Y9*Y12*Y11+Y10*Y13*Y11)*Assumptions!$B$50</f>
        <v>0</v>
      </c>
      <c r="Z14" s="48">
        <f>(Z9*Z12*Z11+Z10*Z13*Z11)*Assumptions!$B$50</f>
        <v>0</v>
      </c>
      <c r="AA14" s="48">
        <f>(AA9*AA12*AA11+AA10*AA13*AA11)*Assumptions!$B$50</f>
        <v>0</v>
      </c>
      <c r="AB14" s="48">
        <f>(AB9*AB12*AB11+AB10*AB13*AB11)*Assumptions!$B$50</f>
        <v>0</v>
      </c>
      <c r="AC14" s="48">
        <f>(AC9*AC12*AC11+AC10*AC13*AC11)*Assumptions!$B$50</f>
        <v>0</v>
      </c>
      <c r="AD14" s="48">
        <f>(AD9*AD12*AD11+AD10*AD13*AD11)*Assumptions!$B$50</f>
        <v>0</v>
      </c>
      <c r="AE14" s="48">
        <f>(AE9*AE12*AE11+AE10*AE13*AE11)*Assumptions!$B$50</f>
        <v>0</v>
      </c>
      <c r="AF14" s="48">
        <f>(AF9*AF12*AF11+AF10*AF13*AF11)*Assumptions!$B$50</f>
        <v>0</v>
      </c>
      <c r="AG14" s="48">
        <f>(AG9*AG12*AG11+AG10*AG13*AG11)*Assumptions!$B$50</f>
        <v>0</v>
      </c>
      <c r="AH14" s="48">
        <f>(AH9*AH12*AH11+AH10*AH13*AH11)*Assumptions!$B$50</f>
        <v>0</v>
      </c>
      <c r="AI14" s="48">
        <f>(AI9*AI12*AI11+AI10*AI13*AI11)*Assumptions!$B$50</f>
        <v>0</v>
      </c>
      <c r="AJ14" s="48">
        <f>(AJ9*AJ12*AJ11+AJ10*AJ13*AJ11)*Assumptions!$B$50</f>
        <v>0</v>
      </c>
      <c r="AK14" s="48">
        <f>(AK9*AK12*AK11+AK10*AK13*AK11)*Assumptions!$B$50</f>
        <v>0</v>
      </c>
      <c r="AL14" s="48">
        <f>(AL9*AL12*AL11+AL10*AL13*AL11)*Assumptions!$B$50</f>
        <v>0</v>
      </c>
    </row>
    <row r="15" spans="1:38" x14ac:dyDescent="0.2">
      <c r="A15" s="59" t="s">
        <v>379</v>
      </c>
      <c r="B15" s="60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</row>
    <row r="16" spans="1:38" x14ac:dyDescent="0.2">
      <c r="A16" s="40" t="s">
        <v>124</v>
      </c>
      <c r="B16" s="2"/>
      <c r="C16" s="48">
        <f>C3*Assumptions!$B$53</f>
        <v>240</v>
      </c>
      <c r="D16" s="48">
        <f>D3*Assumptions!$B$53</f>
        <v>604.04999999999995</v>
      </c>
      <c r="E16" s="48">
        <f>E3*Assumptions!$B$53</f>
        <v>1126.7467499999998</v>
      </c>
      <c r="F16" s="48">
        <f>F3*Assumptions!$B$53</f>
        <v>2184.2647687499998</v>
      </c>
      <c r="G16" s="48">
        <f>G3*Assumptions!$B$53</f>
        <v>2871.4743417187497</v>
      </c>
      <c r="H16" s="48">
        <f>H3*Assumptions!$B$53</f>
        <v>3532.4611649922654</v>
      </c>
      <c r="I16" s="48">
        <f>I3*Assumptions!$B$53</f>
        <v>4439.968475660733</v>
      </c>
      <c r="J16" s="48">
        <f>J3*Assumptions!$B$53</f>
        <v>5497.9120919820325</v>
      </c>
      <c r="K16" s="48">
        <f>K3*Assumptions!$B$53</f>
        <v>6972.6923126779893</v>
      </c>
      <c r="L16" s="48">
        <f>L3*Assumptions!$B$53</f>
        <v>8635.2980830305369</v>
      </c>
      <c r="M16" s="48">
        <f>M3*Assumptions!$B$53</f>
        <v>10527.990151712407</v>
      </c>
      <c r="N16" s="48">
        <f>N3*Assumptions!$B$53</f>
        <v>12503.596024482287</v>
      </c>
      <c r="O16" s="48">
        <f>O3*Assumptions!$B$53</f>
        <v>15401.655129990802</v>
      </c>
      <c r="P16" s="48">
        <f>P3*Assumptions!$B$53</f>
        <v>18721.527534238732</v>
      </c>
      <c r="Q16" s="48">
        <f>Q3*Assumptions!$B$53</f>
        <v>22514.621229442448</v>
      </c>
      <c r="R16" s="48">
        <f>R3*Assumptions!$B$53</f>
        <v>27293.911006066995</v>
      </c>
      <c r="S16" s="48">
        <f>S3*Assumptions!$B$53</f>
        <v>32891.290982432067</v>
      </c>
      <c r="T16" s="48">
        <f>T3*Assumptions!$B$53</f>
        <v>38831.324025216447</v>
      </c>
      <c r="U16" s="48">
        <f>U3*Assumptions!$B$53</f>
        <v>45038.826182209312</v>
      </c>
      <c r="V16" s="48">
        <f>V3*Assumptions!$B$53</f>
        <v>48685.317716807564</v>
      </c>
      <c r="W16" s="48">
        <f>W3*Assumptions!$B$53</f>
        <v>52619.785608576589</v>
      </c>
      <c r="X16" s="48">
        <f>X3*Assumptions!$B$53</f>
        <v>56877.056665734432</v>
      </c>
      <c r="Y16" s="48">
        <f>Y3*Assumptions!$B$53</f>
        <v>61470.709315608583</v>
      </c>
      <c r="Z16" s="48">
        <f>Z3*Assumptions!$B$53</f>
        <v>66446.155073215748</v>
      </c>
      <c r="AA16" s="48">
        <f>AA3*Assumptions!$B$53</f>
        <v>71816.836008099854</v>
      </c>
      <c r="AB16" s="48">
        <f>AB3*Assumptions!$B$53</f>
        <v>76256.10886919334</v>
      </c>
      <c r="AC16" s="48">
        <f>AC3*Assumptions!$B$53</f>
        <v>80966.333566534435</v>
      </c>
      <c r="AD16" s="48">
        <f>AD3*Assumptions!$B$53</f>
        <v>87510.038598016574</v>
      </c>
      <c r="AE16" s="48">
        <f>AE3*Assumptions!$B$53</f>
        <v>94562.593808748818</v>
      </c>
      <c r="AF16" s="48">
        <f>AF3*Assumptions!$B$53</f>
        <v>102188.6439729299</v>
      </c>
      <c r="AG16" s="48">
        <f>AG3*Assumptions!$B$53</f>
        <v>110435.61090927545</v>
      </c>
      <c r="AH16" s="48">
        <f>AH3*Assumptions!$B$53</f>
        <v>119349.21838202764</v>
      </c>
      <c r="AI16" s="48">
        <f>AI3*Assumptions!$B$53</f>
        <v>128985.41286360136</v>
      </c>
      <c r="AJ16" s="48">
        <f>AJ3*Assumptions!$B$53</f>
        <v>139407.69360018757</v>
      </c>
      <c r="AK16" s="48">
        <f>AK3*Assumptions!$B$53</f>
        <v>150658.1322362129</v>
      </c>
      <c r="AL16" s="48">
        <f>AL3*Assumptions!$B$53</f>
        <v>162810.43008810162</v>
      </c>
    </row>
    <row r="17" spans="1:38" x14ac:dyDescent="0.2">
      <c r="A17" s="40" t="s">
        <v>404</v>
      </c>
      <c r="B17" s="2"/>
      <c r="C17" s="48">
        <f>C16*Assumptions!$B$52</f>
        <v>12</v>
      </c>
      <c r="D17" s="48">
        <f>D16*Assumptions!$B$52</f>
        <v>30.202500000000001</v>
      </c>
      <c r="E17" s="48">
        <f>E16*Assumptions!$B$52</f>
        <v>56.33733749999999</v>
      </c>
      <c r="F17" s="48">
        <f>F16*Assumptions!$B$52</f>
        <v>109.2132384375</v>
      </c>
      <c r="G17" s="48">
        <f>G16*Assumptions!$B$52</f>
        <v>143.57371708593749</v>
      </c>
      <c r="H17" s="48">
        <f>H16*Assumptions!$B$52</f>
        <v>176.62305824961328</v>
      </c>
      <c r="I17" s="48">
        <f>I16*Assumptions!$B$52</f>
        <v>221.99842378303666</v>
      </c>
      <c r="J17" s="48">
        <f>J16*Assumptions!$B$52</f>
        <v>274.89560459910166</v>
      </c>
      <c r="K17" s="48">
        <f>K16*Assumptions!$B$52</f>
        <v>348.6346156338995</v>
      </c>
      <c r="L17" s="48">
        <f>L16*Assumptions!$B$52</f>
        <v>431.76490415152688</v>
      </c>
      <c r="M17" s="48">
        <f>M16*Assumptions!$B$52</f>
        <v>526.39950758562043</v>
      </c>
      <c r="N17" s="48">
        <f>N16*Assumptions!$B$52</f>
        <v>625.17980122411439</v>
      </c>
      <c r="O17" s="48">
        <f>O16*Assumptions!$B$52</f>
        <v>770.08275649954021</v>
      </c>
      <c r="P17" s="48">
        <f>P16*Assumptions!$B$52</f>
        <v>936.07637671193663</v>
      </c>
      <c r="Q17" s="48">
        <f>Q16*Assumptions!$B$52</f>
        <v>1125.7310614721225</v>
      </c>
      <c r="R17" s="48">
        <f>R16*Assumptions!$B$52</f>
        <v>1364.6955503033498</v>
      </c>
      <c r="S17" s="48">
        <f>S16*Assumptions!$B$52</f>
        <v>1644.5645491216035</v>
      </c>
      <c r="T17" s="48">
        <f>T16*Assumptions!$B$52</f>
        <v>1941.5662012608225</v>
      </c>
      <c r="U17" s="48">
        <f>U16*Assumptions!$B$52</f>
        <v>2251.9413091104657</v>
      </c>
      <c r="V17" s="48">
        <f>V16*Assumptions!$B$52</f>
        <v>2434.2658858403784</v>
      </c>
      <c r="W17" s="48">
        <f>W16*Assumptions!$B$52</f>
        <v>2630.9892804288297</v>
      </c>
      <c r="X17" s="48">
        <f>X16*Assumptions!$B$52</f>
        <v>2843.8528332867218</v>
      </c>
      <c r="Y17" s="48">
        <f>Y16*Assumptions!$B$52</f>
        <v>3073.5354657804291</v>
      </c>
      <c r="Z17" s="48">
        <f>Z16*Assumptions!$B$52</f>
        <v>3322.3077536607875</v>
      </c>
      <c r="AA17" s="48">
        <f>AA16*Assumptions!$B$52</f>
        <v>3590.8418004049927</v>
      </c>
      <c r="AB17" s="48">
        <f>AB16*Assumptions!$B$52</f>
        <v>3812.805443459667</v>
      </c>
      <c r="AC17" s="48">
        <f>AC16*Assumptions!$B$52</f>
        <v>4048.316678326722</v>
      </c>
      <c r="AD17" s="48">
        <f>AD16*Assumptions!$B$52</f>
        <v>4375.5019299008291</v>
      </c>
      <c r="AE17" s="48">
        <f>AE16*Assumptions!$B$52</f>
        <v>4728.1296904374412</v>
      </c>
      <c r="AF17" s="48">
        <f>AF16*Assumptions!$B$52</f>
        <v>5109.4321986464956</v>
      </c>
      <c r="AG17" s="48">
        <f>AG16*Assumptions!$B$52</f>
        <v>5521.7805454637728</v>
      </c>
      <c r="AH17" s="48">
        <f>AH16*Assumptions!$B$52</f>
        <v>5967.4609191013824</v>
      </c>
      <c r="AI17" s="48">
        <f>AI16*Assumptions!$B$52</f>
        <v>6449.2706431800689</v>
      </c>
      <c r="AJ17" s="48">
        <f>AJ16*Assumptions!$B$52</f>
        <v>6970.3846800093788</v>
      </c>
      <c r="AK17" s="48">
        <f>AK16*Assumptions!$B$52</f>
        <v>7532.9066118106457</v>
      </c>
      <c r="AL17" s="48">
        <f>AL16*Assumptions!$B$52</f>
        <v>8140.5215044050819</v>
      </c>
    </row>
    <row r="18" spans="1:38" x14ac:dyDescent="0.2">
      <c r="A18" s="59" t="s">
        <v>380</v>
      </c>
      <c r="B18" s="60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</row>
    <row r="19" spans="1:38" x14ac:dyDescent="0.2">
      <c r="A19" s="40" t="s">
        <v>125</v>
      </c>
      <c r="B19" s="2"/>
      <c r="C19" s="48">
        <f>Revenue!C37*Assumptions!$B$37+Revenue!C30*Assumptions!$B$38</f>
        <v>2.3009999999999997</v>
      </c>
      <c r="D19" s="48">
        <f>Revenue!D37*Assumptions!$B$37+Revenue!D30*Assumptions!$B$38</f>
        <v>4.6616349999999951</v>
      </c>
      <c r="E19" s="48">
        <f>Revenue!E37*Assumptions!$B$37+Revenue!E30*Assumptions!$B$38</f>
        <v>7.6854757249999848</v>
      </c>
      <c r="F19" s="48">
        <f>Revenue!F37*Assumptions!$B$37+Revenue!F30*Assumptions!$B$38</f>
        <v>85.440107763124999</v>
      </c>
      <c r="G19" s="48">
        <f>Revenue!G37*Assumptions!$B$37+Revenue!G30*Assumptions!$B$38</f>
        <v>112.9760820098281</v>
      </c>
      <c r="H19" s="48">
        <f>Revenue!H37*Assumptions!$B$37+Revenue!H30*Assumptions!$B$38</f>
        <v>137.76577135490675</v>
      </c>
      <c r="I19" s="48">
        <f>Revenue!I37*Assumptions!$B$37+Revenue!I30*Assumptions!$B$38</f>
        <v>173.80758208317826</v>
      </c>
      <c r="J19" s="48">
        <f>Revenue!J37*Assumptions!$B$37+Revenue!J30*Assumptions!$B$38</f>
        <v>215.54885745502185</v>
      </c>
      <c r="K19" s="48">
        <f>Revenue!K37*Assumptions!$B$37+Revenue!K30*Assumptions!$B$38</f>
        <v>271.74450038240184</v>
      </c>
      <c r="L19" s="48">
        <f>Revenue!L37*Assumptions!$B$37+Revenue!L30*Assumptions!$B$38</f>
        <v>337.24236296844214</v>
      </c>
      <c r="M19" s="48">
        <f>Revenue!M37*Assumptions!$B$37+Revenue!M30*Assumptions!$B$38</f>
        <v>409.69584463634175</v>
      </c>
      <c r="N19" s="48">
        <f>Revenue!N37*Assumptions!$B$37+Revenue!N30*Assumptions!$B$38</f>
        <v>486.53681507779146</v>
      </c>
      <c r="O19" s="48">
        <f>Revenue!O37*Assumptions!$B$37+Revenue!O30*Assumptions!$B$38</f>
        <v>693.26694847029466</v>
      </c>
      <c r="P19" s="48">
        <f>Revenue!P37*Assumptions!$B$37+Revenue!P30*Assumptions!$B$38</f>
        <v>843.24816187611077</v>
      </c>
      <c r="Q19" s="48">
        <f>Revenue!Q37*Assumptions!$B$37+Revenue!Q30*Assumptions!$B$38</f>
        <v>1011.7574482982357</v>
      </c>
      <c r="R19" s="48">
        <f>Revenue!R37*Assumptions!$B$37+Revenue!R30*Assumptions!$B$38</f>
        <v>1231.1419741653385</v>
      </c>
      <c r="S19" s="48">
        <f>Revenue!S37*Assumptions!$B$37+Revenue!S30*Assumptions!$B$38</f>
        <v>1481.0250183525395</v>
      </c>
      <c r="T19" s="48">
        <f>Revenue!T37*Assumptions!$B$37+Revenue!T30*Assumptions!$B$38</f>
        <v>1747.5615527341015</v>
      </c>
      <c r="U19" s="48">
        <f>Revenue!U37*Assumptions!$B$37+Revenue!U30*Assumptions!$B$38</f>
        <v>2028.1169681754541</v>
      </c>
      <c r="V19" s="48">
        <f>Revenue!V37*Assumptions!$B$37+Revenue!V30*Assumptions!$B$38</f>
        <v>2192.2068688791405</v>
      </c>
      <c r="W19" s="48">
        <f>Revenue!W37*Assumptions!$B$37+Revenue!W30*Assumptions!$B$38</f>
        <v>2369.5875561778244</v>
      </c>
      <c r="X19" s="48">
        <f>Revenue!X37*Assumptions!$B$37+Revenue!X30*Assumptions!$B$38</f>
        <v>2560.5332462618308</v>
      </c>
      <c r="Y19" s="48">
        <f>Revenue!Y37*Assumptions!$B$37+Revenue!Y30*Assumptions!$B$38</f>
        <v>2769.2174045071783</v>
      </c>
      <c r="Z19" s="48">
        <f>Revenue!Z37*Assumptions!$B$37+Revenue!Z30*Assumptions!$B$38</f>
        <v>2990.403094115647</v>
      </c>
      <c r="AA19" s="48">
        <f>Revenue!AA37*Assumptions!$B$37+Revenue!AA30*Assumptions!$B$38</f>
        <v>3233.841321821259</v>
      </c>
      <c r="AB19" s="48">
        <f>Revenue!AB37*Assumptions!$B$37+Revenue!AB30*Assumptions!$B$38</f>
        <v>3434.222550267129</v>
      </c>
      <c r="AC19" s="48">
        <f>Revenue!AC37*Assumptions!$B$37+Revenue!AC30*Assumptions!$B$38</f>
        <v>3645.4287845531912</v>
      </c>
      <c r="AD19" s="48">
        <f>Revenue!AD37*Assumptions!$B$37+Revenue!AD30*Assumptions!$B$38</f>
        <v>3939.841960467872</v>
      </c>
      <c r="AE19" s="48">
        <f>Revenue!AE37*Assumptions!$B$37+Revenue!AE30*Assumptions!$B$38</f>
        <v>4257.2369451310351</v>
      </c>
      <c r="AF19" s="48">
        <f>Revenue!AF37*Assumptions!$B$37+Revenue!AF30*Assumptions!$B$38</f>
        <v>4600.9289927237241</v>
      </c>
      <c r="AG19" s="48">
        <f>Revenue!AG37*Assumptions!$B$37+Revenue!AG30*Assumptions!$B$38</f>
        <v>4972.5053567414279</v>
      </c>
      <c r="AH19" s="48">
        <f>Revenue!AH37*Assumptions!$B$37+Revenue!AH30*Assumptions!$B$38</f>
        <v>5373.0760499015205</v>
      </c>
      <c r="AI19" s="48">
        <f>Revenue!AI37*Assumptions!$B$37+Revenue!AI30*Assumptions!$B$38</f>
        <v>5807.1061666382247</v>
      </c>
      <c r="AJ19" s="48">
        <f>Revenue!AJ37*Assumptions!$B$37+Revenue!AJ30*Assumptions!$B$38</f>
        <v>6277.3200991343865</v>
      </c>
      <c r="AK19" s="48">
        <f>Revenue!AK37*Assumptions!$B$37+Revenue!AK30*Assumptions!$B$38</f>
        <v>6784.2377425175291</v>
      </c>
      <c r="AL19" s="48">
        <f>Revenue!AL37*Assumptions!$B$37+Revenue!AL30*Assumptions!$B$38</f>
        <v>7331.1149877573944</v>
      </c>
    </row>
    <row r="20" spans="1:38" x14ac:dyDescent="0.2">
      <c r="A20" s="59" t="s">
        <v>381</v>
      </c>
      <c r="B20" s="60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</row>
    <row r="21" spans="1:38" x14ac:dyDescent="0.2">
      <c r="A21" s="40" t="s">
        <v>126</v>
      </c>
      <c r="B21" s="2"/>
      <c r="C21" s="48">
        <f>C3*Assumptions!$B$54</f>
        <v>0.8</v>
      </c>
      <c r="D21" s="48">
        <f>D3*Assumptions!$B$54</f>
        <v>2.0135000000000001</v>
      </c>
      <c r="E21" s="48">
        <f>E3*Assumptions!$B$54</f>
        <v>3.7558224999999994</v>
      </c>
      <c r="F21" s="48">
        <f>F3*Assumptions!$B$54</f>
        <v>7.2808825625000004</v>
      </c>
      <c r="G21" s="48">
        <f>G3*Assumptions!$B$54</f>
        <v>9.5715811390625003</v>
      </c>
      <c r="H21" s="48">
        <f>H3*Assumptions!$B$54</f>
        <v>11.774870549974217</v>
      </c>
      <c r="I21" s="48">
        <f>I3*Assumptions!$B$54</f>
        <v>14.799894918869112</v>
      </c>
      <c r="J21" s="48">
        <f>J3*Assumptions!$B$54</f>
        <v>18.326373639940108</v>
      </c>
      <c r="K21" s="48">
        <f>K3*Assumptions!$B$54</f>
        <v>23.242307708926631</v>
      </c>
      <c r="L21" s="48">
        <f>L3*Assumptions!$B$54</f>
        <v>28.784326943435122</v>
      </c>
      <c r="M21" s="48">
        <f>M3*Assumptions!$B$54</f>
        <v>35.093300505708029</v>
      </c>
      <c r="N21" s="48">
        <f>N3*Assumptions!$B$54</f>
        <v>41.67865341494096</v>
      </c>
      <c r="O21" s="48">
        <f>O3*Assumptions!$B$54</f>
        <v>51.338850433302675</v>
      </c>
      <c r="P21" s="48">
        <f>P3*Assumptions!$B$54</f>
        <v>62.405091780795772</v>
      </c>
      <c r="Q21" s="48">
        <f>Q3*Assumptions!$B$54</f>
        <v>75.048737431474819</v>
      </c>
      <c r="R21" s="48">
        <f>R3*Assumptions!$B$54</f>
        <v>90.979703353556658</v>
      </c>
      <c r="S21" s="48">
        <f>S3*Assumptions!$B$54</f>
        <v>109.6376366081069</v>
      </c>
      <c r="T21" s="48">
        <f>T3*Assumptions!$B$54</f>
        <v>129.43774675072152</v>
      </c>
      <c r="U21" s="48">
        <f>U3*Assumptions!$B$54</f>
        <v>150.12942060736438</v>
      </c>
      <c r="V21" s="48">
        <f>V3*Assumptions!$B$54</f>
        <v>162.28439238935857</v>
      </c>
      <c r="W21" s="48">
        <f>W3*Assumptions!$B$54</f>
        <v>175.39928536192198</v>
      </c>
      <c r="X21" s="48">
        <f>X3*Assumptions!$B$54</f>
        <v>189.59018888578146</v>
      </c>
      <c r="Y21" s="48">
        <f>Y3*Assumptions!$B$54</f>
        <v>204.90236438536195</v>
      </c>
      <c r="Z21" s="48">
        <f>Z3*Assumptions!$B$54</f>
        <v>221.48718357738582</v>
      </c>
      <c r="AA21" s="48">
        <f>AA3*Assumptions!$B$54</f>
        <v>239.38945336033285</v>
      </c>
      <c r="AB21" s="48">
        <f>AB3*Assumptions!$B$54</f>
        <v>254.1870295639778</v>
      </c>
      <c r="AC21" s="48">
        <f>AC3*Assumptions!$B$54</f>
        <v>269.88777855511483</v>
      </c>
      <c r="AD21" s="48">
        <f>AD3*Assumptions!$B$54</f>
        <v>291.70012866005527</v>
      </c>
      <c r="AE21" s="48">
        <f>AE3*Assumptions!$B$54</f>
        <v>315.20864602916276</v>
      </c>
      <c r="AF21" s="48">
        <f>AF3*Assumptions!$B$54</f>
        <v>340.62881324309973</v>
      </c>
      <c r="AG21" s="48">
        <f>AG3*Assumptions!$B$54</f>
        <v>368.1187030309182</v>
      </c>
      <c r="AH21" s="48">
        <f>AH3*Assumptions!$B$54</f>
        <v>397.83072794009217</v>
      </c>
      <c r="AI21" s="48">
        <f>AI3*Assumptions!$B$54</f>
        <v>429.95137621200456</v>
      </c>
      <c r="AJ21" s="48">
        <f>AJ3*Assumptions!$B$54</f>
        <v>464.69231200062524</v>
      </c>
      <c r="AK21" s="48">
        <f>AK3*Assumptions!$B$54</f>
        <v>502.19377412070963</v>
      </c>
      <c r="AL21" s="48">
        <f>AL3*Assumptions!$B$54</f>
        <v>542.70143362700537</v>
      </c>
    </row>
    <row r="22" spans="1:38" x14ac:dyDescent="0.2">
      <c r="A22" s="97" t="s">
        <v>382</v>
      </c>
      <c r="B22" s="67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</row>
    <row r="23" spans="1:38" x14ac:dyDescent="0.2">
      <c r="A23" s="101" t="s">
        <v>127</v>
      </c>
      <c r="B23" s="102"/>
      <c r="C23" s="103">
        <f>C14+C17+C19+C21</f>
        <v>15.101000000000001</v>
      </c>
      <c r="D23" s="103">
        <f t="shared" ref="D23:AL23" si="1">D14+D17+D19+D21</f>
        <v>36.877634999999998</v>
      </c>
      <c r="E23" s="103">
        <f t="shared" si="1"/>
        <v>67.778635724999972</v>
      </c>
      <c r="F23" s="103">
        <f t="shared" si="1"/>
        <v>201.93422876312499</v>
      </c>
      <c r="G23" s="103">
        <f t="shared" si="1"/>
        <v>266.12138023482811</v>
      </c>
      <c r="H23" s="103">
        <f t="shared" si="1"/>
        <v>326.16370015449422</v>
      </c>
      <c r="I23" s="103">
        <f t="shared" si="1"/>
        <v>410.60590078508403</v>
      </c>
      <c r="J23" s="103">
        <f t="shared" si="1"/>
        <v>508.77083569406363</v>
      </c>
      <c r="K23" s="103">
        <f t="shared" si="1"/>
        <v>643.62142372522806</v>
      </c>
      <c r="L23" s="103">
        <f t="shared" si="1"/>
        <v>797.79159406340409</v>
      </c>
      <c r="M23" s="103">
        <f t="shared" si="1"/>
        <v>971.18865272767027</v>
      </c>
      <c r="N23" s="103">
        <f t="shared" si="1"/>
        <v>1153.3952697168468</v>
      </c>
      <c r="O23" s="103">
        <f t="shared" si="1"/>
        <v>1514.6885554031376</v>
      </c>
      <c r="P23" s="103">
        <f t="shared" si="1"/>
        <v>1841.7296303688431</v>
      </c>
      <c r="Q23" s="103">
        <f t="shared" si="1"/>
        <v>2212.537247201833</v>
      </c>
      <c r="R23" s="103">
        <f t="shared" si="1"/>
        <v>2686.8172278222451</v>
      </c>
      <c r="S23" s="103">
        <f t="shared" si="1"/>
        <v>3235.22720408225</v>
      </c>
      <c r="T23" s="103">
        <f t="shared" si="1"/>
        <v>3818.5655007456457</v>
      </c>
      <c r="U23" s="103">
        <f t="shared" si="1"/>
        <v>4430.1876978932842</v>
      </c>
      <c r="V23" s="103">
        <f t="shared" si="1"/>
        <v>4788.7571471088777</v>
      </c>
      <c r="W23" s="103">
        <f t="shared" si="1"/>
        <v>5175.9761219685761</v>
      </c>
      <c r="X23" s="103">
        <f t="shared" si="1"/>
        <v>5593.9762684343341</v>
      </c>
      <c r="Y23" s="103">
        <f t="shared" si="1"/>
        <v>6047.6552346729695</v>
      </c>
      <c r="Z23" s="103">
        <f t="shared" si="1"/>
        <v>6534.1980313538197</v>
      </c>
      <c r="AA23" s="103">
        <f t="shared" si="1"/>
        <v>7064.0725755865842</v>
      </c>
      <c r="AB23" s="103">
        <f t="shared" si="1"/>
        <v>7501.2150232907734</v>
      </c>
      <c r="AC23" s="103">
        <f t="shared" si="1"/>
        <v>7963.6332414350281</v>
      </c>
      <c r="AD23" s="103">
        <f t="shared" si="1"/>
        <v>8607.0440190287572</v>
      </c>
      <c r="AE23" s="103">
        <f t="shared" si="1"/>
        <v>9300.5752815976393</v>
      </c>
      <c r="AF23" s="103">
        <f t="shared" si="1"/>
        <v>10050.990004613319</v>
      </c>
      <c r="AG23" s="103">
        <f t="shared" si="1"/>
        <v>10862.404605236117</v>
      </c>
      <c r="AH23" s="103">
        <f t="shared" si="1"/>
        <v>11738.367696942996</v>
      </c>
      <c r="AI23" s="103">
        <f t="shared" si="1"/>
        <v>12686.328186030298</v>
      </c>
      <c r="AJ23" s="103">
        <f t="shared" si="1"/>
        <v>13712.39709114439</v>
      </c>
      <c r="AK23" s="103">
        <f t="shared" si="1"/>
        <v>14819.338128448884</v>
      </c>
      <c r="AL23" s="103">
        <f t="shared" si="1"/>
        <v>16014.337925789483</v>
      </c>
    </row>
    <row r="24" spans="1:38" x14ac:dyDescent="0.2">
      <c r="A24" s="53" t="s">
        <v>128</v>
      </c>
      <c r="B24" s="2"/>
      <c r="C24" s="48">
        <f>IFERROR(C23/C3,0)</f>
        <v>1.8876250000000001</v>
      </c>
      <c r="D24" s="48">
        <f t="shared" ref="D24:AL24" si="2">IFERROR(D23/D3,0)</f>
        <v>1.8315189967717904</v>
      </c>
      <c r="E24" s="48">
        <f t="shared" si="2"/>
        <v>1.8046282997931873</v>
      </c>
      <c r="F24" s="48">
        <f t="shared" si="2"/>
        <v>2.7734855909252278</v>
      </c>
      <c r="G24" s="48">
        <f t="shared" si="2"/>
        <v>2.7803283111581472</v>
      </c>
      <c r="H24" s="48">
        <f t="shared" si="2"/>
        <v>2.7699981818926105</v>
      </c>
      <c r="I24" s="48">
        <f t="shared" si="2"/>
        <v>2.7743838928314446</v>
      </c>
      <c r="J24" s="48">
        <f t="shared" si="2"/>
        <v>2.7761675369602821</v>
      </c>
      <c r="K24" s="48">
        <f t="shared" si="2"/>
        <v>2.7691803747957158</v>
      </c>
      <c r="L24" s="48">
        <f t="shared" si="2"/>
        <v>2.7716180254315708</v>
      </c>
      <c r="M24" s="48">
        <f t="shared" si="2"/>
        <v>2.7674474578693551</v>
      </c>
      <c r="N24" s="48">
        <f t="shared" si="2"/>
        <v>2.7673525299245338</v>
      </c>
      <c r="O24" s="48">
        <f t="shared" si="2"/>
        <v>2.9503748966310783</v>
      </c>
      <c r="P24" s="48">
        <f t="shared" si="2"/>
        <v>2.9512489731416558</v>
      </c>
      <c r="Q24" s="48">
        <f t="shared" si="2"/>
        <v>2.9481338699695607</v>
      </c>
      <c r="R24" s="48">
        <f t="shared" si="2"/>
        <v>2.9532050872720395</v>
      </c>
      <c r="S24" s="48">
        <f t="shared" si="2"/>
        <v>2.9508363224267358</v>
      </c>
      <c r="T24" s="48">
        <f t="shared" si="2"/>
        <v>2.9501174090272557</v>
      </c>
      <c r="U24" s="48">
        <f t="shared" si="2"/>
        <v>2.9509124060896883</v>
      </c>
      <c r="V24" s="48">
        <f t="shared" si="2"/>
        <v>2.9508427006458633</v>
      </c>
      <c r="W24" s="48">
        <f t="shared" si="2"/>
        <v>2.9509676229799773</v>
      </c>
      <c r="X24" s="48">
        <f t="shared" si="2"/>
        <v>2.9505621051965005</v>
      </c>
      <c r="Y24" s="48">
        <f t="shared" si="2"/>
        <v>2.9514814301015497</v>
      </c>
      <c r="Z24" s="48">
        <f t="shared" si="2"/>
        <v>2.9501472391384782</v>
      </c>
      <c r="AA24" s="48">
        <f t="shared" si="2"/>
        <v>2.9508704232486087</v>
      </c>
      <c r="AB24" s="48">
        <f t="shared" si="2"/>
        <v>2.951061285919292</v>
      </c>
      <c r="AC24" s="48">
        <f t="shared" si="2"/>
        <v>2.950720215665025</v>
      </c>
      <c r="AD24" s="48">
        <f t="shared" si="2"/>
        <v>2.9506480023049044</v>
      </c>
      <c r="AE24" s="48">
        <f t="shared" si="2"/>
        <v>2.9506091913281978</v>
      </c>
      <c r="AF24" s="48">
        <f t="shared" si="2"/>
        <v>2.9507163263490974</v>
      </c>
      <c r="AG24" s="48">
        <f t="shared" si="2"/>
        <v>2.9507885678723005</v>
      </c>
      <c r="AH24" s="48">
        <f t="shared" si="2"/>
        <v>2.9505935244676813</v>
      </c>
      <c r="AI24" s="48">
        <f t="shared" si="2"/>
        <v>2.9506425349304619</v>
      </c>
      <c r="AJ24" s="48">
        <f t="shared" si="2"/>
        <v>2.9508551652401644</v>
      </c>
      <c r="AK24" s="48">
        <f t="shared" si="2"/>
        <v>2.9509203204273176</v>
      </c>
      <c r="AL24" s="48">
        <f t="shared" si="2"/>
        <v>2.9508560201807055</v>
      </c>
    </row>
    <row r="25" spans="1:38" x14ac:dyDescent="0.2">
      <c r="A25" s="40" t="s">
        <v>129</v>
      </c>
      <c r="B25" s="2"/>
      <c r="C25" s="48">
        <f>IFERROR((C23-C26)/C4,0)</f>
        <v>3.9009999999999998</v>
      </c>
      <c r="D25" s="48">
        <f t="shared" ref="D25:AL25" si="3">IFERROR((D23-D26)/D4,0)</f>
        <v>3.0869649122807008</v>
      </c>
      <c r="E25" s="48">
        <f t="shared" si="3"/>
        <v>2.9827212329475667</v>
      </c>
      <c r="F25" s="48">
        <f t="shared" si="3"/>
        <v>2.9823286059744643</v>
      </c>
      <c r="G25" s="48">
        <f t="shared" si="3"/>
        <v>2.9825486168126027</v>
      </c>
      <c r="H25" s="48">
        <f t="shared" si="3"/>
        <v>2.9811284132931712</v>
      </c>
      <c r="I25" s="48">
        <f t="shared" si="3"/>
        <v>2.9794367588168598</v>
      </c>
      <c r="J25" s="48">
        <f t="shared" si="3"/>
        <v>2.9793914213345798</v>
      </c>
      <c r="K25" s="48">
        <f t="shared" si="3"/>
        <v>2.9764576278969184</v>
      </c>
      <c r="L25" s="48">
        <f t="shared" si="3"/>
        <v>2.9773805738975625</v>
      </c>
      <c r="M25" s="48">
        <f t="shared" si="3"/>
        <v>2.9751274201992128</v>
      </c>
      <c r="N25" s="48">
        <f t="shared" si="3"/>
        <v>2.9752270595814125</v>
      </c>
      <c r="O25" s="48">
        <f t="shared" si="3"/>
        <v>3.0224113665114141</v>
      </c>
      <c r="P25" s="48">
        <f t="shared" si="3"/>
        <v>3.0218815561283261</v>
      </c>
      <c r="Q25" s="48">
        <f t="shared" si="3"/>
        <v>3.0200356171522587</v>
      </c>
      <c r="R25" s="48">
        <f t="shared" si="3"/>
        <v>3.023619562074626</v>
      </c>
      <c r="S25" s="48">
        <f t="shared" si="3"/>
        <v>3.0221803630189599</v>
      </c>
      <c r="T25" s="48">
        <f t="shared" si="3"/>
        <v>3.0215012060352779</v>
      </c>
      <c r="U25" s="48">
        <f t="shared" si="3"/>
        <v>3.0219485429717414</v>
      </c>
      <c r="V25" s="48">
        <f t="shared" si="3"/>
        <v>3.0218085468360556</v>
      </c>
      <c r="W25" s="48">
        <f t="shared" si="3"/>
        <v>3.0223275634286839</v>
      </c>
      <c r="X25" s="48">
        <f t="shared" si="3"/>
        <v>3.0218060751137297</v>
      </c>
      <c r="Y25" s="48">
        <f t="shared" si="3"/>
        <v>3.0222823709660984</v>
      </c>
      <c r="Z25" s="48">
        <f t="shared" si="3"/>
        <v>3.0213808290350062</v>
      </c>
      <c r="AA25" s="48">
        <f t="shared" si="3"/>
        <v>3.0221597677605345</v>
      </c>
      <c r="AB25" s="48">
        <f t="shared" si="3"/>
        <v>3.0221147017576326</v>
      </c>
      <c r="AC25" s="48">
        <f t="shared" si="3"/>
        <v>3.0218418698025209</v>
      </c>
      <c r="AD25" s="48">
        <f t="shared" si="3"/>
        <v>3.0218116676882696</v>
      </c>
      <c r="AE25" s="48">
        <f t="shared" si="3"/>
        <v>3.021881766472561</v>
      </c>
      <c r="AF25" s="48">
        <f t="shared" si="3"/>
        <v>3.0216685302577346</v>
      </c>
      <c r="AG25" s="48">
        <f t="shared" si="3"/>
        <v>3.021858571945411</v>
      </c>
      <c r="AH25" s="48">
        <f t="shared" si="3"/>
        <v>3.0217092320562084</v>
      </c>
      <c r="AI25" s="48">
        <f t="shared" si="3"/>
        <v>3.0217374465704032</v>
      </c>
      <c r="AJ25" s="48">
        <f t="shared" si="3"/>
        <v>3.0218413160330404</v>
      </c>
      <c r="AK25" s="48">
        <f t="shared" si="3"/>
        <v>3.0219925118538749</v>
      </c>
      <c r="AL25" s="48">
        <f t="shared" si="3"/>
        <v>3.0218569828610771</v>
      </c>
    </row>
    <row r="26" spans="1:38" x14ac:dyDescent="0.2">
      <c r="A26" s="53" t="s">
        <v>130</v>
      </c>
      <c r="B26" s="2"/>
      <c r="C26" s="48">
        <f>IFERROR((C14+C17+C21)*(C5/C3),0)</f>
        <v>11.200000000000001</v>
      </c>
      <c r="D26" s="48">
        <f t="shared" ref="D26:AL26" si="4">IFERROR((D14+D17+D21)*(D5/D3),0)</f>
        <v>27.200000000000006</v>
      </c>
      <c r="E26" s="48">
        <f t="shared" si="4"/>
        <v>51.2</v>
      </c>
      <c r="F26" s="48">
        <f t="shared" si="4"/>
        <v>17.600000000000001</v>
      </c>
      <c r="G26" s="48">
        <f t="shared" si="4"/>
        <v>22.4</v>
      </c>
      <c r="H26" s="48">
        <f t="shared" si="4"/>
        <v>28.800000000000004</v>
      </c>
      <c r="I26" s="48">
        <f t="shared" si="4"/>
        <v>35.199999999999996</v>
      </c>
      <c r="J26" s="48">
        <f t="shared" si="4"/>
        <v>43.20000000000001</v>
      </c>
      <c r="K26" s="48">
        <f t="shared" si="4"/>
        <v>56</v>
      </c>
      <c r="L26" s="48">
        <f t="shared" si="4"/>
        <v>68.800000000000011</v>
      </c>
      <c r="M26" s="48">
        <f t="shared" si="4"/>
        <v>84.800000000000011</v>
      </c>
      <c r="N26" s="48">
        <f t="shared" si="4"/>
        <v>100.80000000000001</v>
      </c>
      <c r="O26" s="48">
        <f t="shared" si="4"/>
        <v>41.6</v>
      </c>
      <c r="P26" s="48">
        <f t="shared" si="4"/>
        <v>49.6</v>
      </c>
      <c r="Q26" s="48">
        <f t="shared" si="4"/>
        <v>60.800000000000011</v>
      </c>
      <c r="R26" s="48">
        <f t="shared" si="4"/>
        <v>72.000000000000014</v>
      </c>
      <c r="S26" s="48">
        <f t="shared" si="4"/>
        <v>88.000000000000014</v>
      </c>
      <c r="T26" s="48">
        <f t="shared" si="4"/>
        <v>104</v>
      </c>
      <c r="U26" s="48">
        <f t="shared" si="4"/>
        <v>120.00000000000001</v>
      </c>
      <c r="V26" s="48">
        <f t="shared" si="4"/>
        <v>129.60000000000002</v>
      </c>
      <c r="W26" s="48">
        <f t="shared" si="4"/>
        <v>140.80000000000001</v>
      </c>
      <c r="X26" s="48">
        <f t="shared" si="4"/>
        <v>152.00000000000003</v>
      </c>
      <c r="Y26" s="48">
        <f t="shared" si="4"/>
        <v>163.20000000000002</v>
      </c>
      <c r="Z26" s="48">
        <f t="shared" si="4"/>
        <v>177.6</v>
      </c>
      <c r="AA26" s="48">
        <f t="shared" si="4"/>
        <v>192</v>
      </c>
      <c r="AB26" s="48">
        <f t="shared" si="4"/>
        <v>203.20000000000002</v>
      </c>
      <c r="AC26" s="48">
        <f t="shared" si="4"/>
        <v>216</v>
      </c>
      <c r="AD26" s="48">
        <f t="shared" si="4"/>
        <v>233.6</v>
      </c>
      <c r="AE26" s="48">
        <f t="shared" si="4"/>
        <v>252.8</v>
      </c>
      <c r="AF26" s="48">
        <f t="shared" si="4"/>
        <v>272.00000000000006</v>
      </c>
      <c r="AG26" s="48">
        <f t="shared" si="4"/>
        <v>294.39999999999998</v>
      </c>
      <c r="AH26" s="48">
        <f t="shared" si="4"/>
        <v>318.40000000000003</v>
      </c>
      <c r="AI26" s="48">
        <f t="shared" si="4"/>
        <v>344</v>
      </c>
      <c r="AJ26" s="48">
        <f t="shared" si="4"/>
        <v>371.2</v>
      </c>
      <c r="AK26" s="48">
        <f t="shared" si="4"/>
        <v>401.60000000000008</v>
      </c>
      <c r="AL26" s="48">
        <f t="shared" si="4"/>
        <v>433.60000000000008</v>
      </c>
    </row>
    <row r="27" spans="1:38" x14ac:dyDescent="0.2">
      <c r="A27" s="59" t="s">
        <v>366</v>
      </c>
      <c r="B27" s="60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</row>
    <row r="28" spans="1:38" x14ac:dyDescent="0.2">
      <c r="A28" s="53" t="s">
        <v>131</v>
      </c>
      <c r="B28" s="2"/>
      <c r="C28" s="48">
        <f>Assumptions!C56</f>
        <v>5500</v>
      </c>
      <c r="D28" s="48">
        <f>Assumptions!D56</f>
        <v>5500</v>
      </c>
      <c r="E28" s="48">
        <f>Assumptions!E56</f>
        <v>5500</v>
      </c>
      <c r="F28" s="48">
        <f>Assumptions!F56</f>
        <v>5500</v>
      </c>
      <c r="G28" s="48">
        <f>Assumptions!G56</f>
        <v>5500</v>
      </c>
      <c r="H28" s="48">
        <f>Assumptions!H56</f>
        <v>5500</v>
      </c>
      <c r="I28" s="48">
        <f>Assumptions!I56</f>
        <v>5500</v>
      </c>
      <c r="J28" s="48">
        <f>Assumptions!J56</f>
        <v>5500</v>
      </c>
      <c r="K28" s="48">
        <f>Assumptions!K56</f>
        <v>5500</v>
      </c>
      <c r="L28" s="48">
        <f>Assumptions!L56</f>
        <v>5500</v>
      </c>
      <c r="M28" s="48">
        <f>Assumptions!M56</f>
        <v>5500</v>
      </c>
      <c r="N28" s="48">
        <f>Assumptions!N56</f>
        <v>5500</v>
      </c>
      <c r="O28" s="48">
        <f>Assumptions!O56</f>
        <v>5500</v>
      </c>
      <c r="P28" s="48">
        <f>Assumptions!P56</f>
        <v>5500</v>
      </c>
      <c r="Q28" s="48">
        <f>Assumptions!Q56</f>
        <v>5500</v>
      </c>
      <c r="R28" s="48">
        <f>Assumptions!R56</f>
        <v>5500</v>
      </c>
      <c r="S28" s="48">
        <f>Assumptions!S56</f>
        <v>5500</v>
      </c>
      <c r="T28" s="48">
        <f>Assumptions!T56</f>
        <v>5500</v>
      </c>
      <c r="U28" s="48">
        <f>Assumptions!U56</f>
        <v>5500</v>
      </c>
      <c r="V28" s="48">
        <f>Assumptions!V56</f>
        <v>5500</v>
      </c>
      <c r="W28" s="48">
        <f>Assumptions!W56</f>
        <v>5500</v>
      </c>
      <c r="X28" s="48">
        <f>Assumptions!X56</f>
        <v>5500</v>
      </c>
      <c r="Y28" s="48">
        <f>Assumptions!Y56</f>
        <v>5500</v>
      </c>
      <c r="Z28" s="48">
        <f>Assumptions!Z56</f>
        <v>5500</v>
      </c>
      <c r="AA28" s="48">
        <f>Assumptions!AA56</f>
        <v>5500</v>
      </c>
      <c r="AB28" s="48">
        <f>Assumptions!AB56</f>
        <v>5500</v>
      </c>
      <c r="AC28" s="48">
        <f>Assumptions!AC56</f>
        <v>5500</v>
      </c>
      <c r="AD28" s="48">
        <f>Assumptions!AD56</f>
        <v>5500</v>
      </c>
      <c r="AE28" s="48">
        <f>Assumptions!AE56</f>
        <v>5500</v>
      </c>
      <c r="AF28" s="48">
        <f>Assumptions!AF56</f>
        <v>5500</v>
      </c>
      <c r="AG28" s="48">
        <f>Assumptions!AG56</f>
        <v>5500</v>
      </c>
      <c r="AH28" s="48">
        <f>Assumptions!AH56</f>
        <v>5500</v>
      </c>
      <c r="AI28" s="48">
        <f>Assumptions!AI56</f>
        <v>5500</v>
      </c>
      <c r="AJ28" s="48">
        <f>Assumptions!AJ56</f>
        <v>5500</v>
      </c>
      <c r="AK28" s="48">
        <f>Assumptions!AK56</f>
        <v>5500</v>
      </c>
      <c r="AL28" s="48">
        <f>Assumptions!AL56</f>
        <v>5500</v>
      </c>
    </row>
    <row r="29" spans="1:38" x14ac:dyDescent="0.2">
      <c r="A29" s="53" t="s">
        <v>132</v>
      </c>
      <c r="B29" s="2"/>
      <c r="C29" s="48">
        <f>Assumptions!C57</f>
        <v>0</v>
      </c>
      <c r="D29" s="48">
        <f>Assumptions!D57</f>
        <v>0</v>
      </c>
      <c r="E29" s="48">
        <f>Assumptions!E57</f>
        <v>0</v>
      </c>
      <c r="F29" s="48">
        <f>Assumptions!F57</f>
        <v>0</v>
      </c>
      <c r="G29" s="48">
        <f>Assumptions!G57</f>
        <v>0</v>
      </c>
      <c r="H29" s="48">
        <f>Assumptions!H57</f>
        <v>0</v>
      </c>
      <c r="I29" s="48">
        <f>Assumptions!I57</f>
        <v>0</v>
      </c>
      <c r="J29" s="48">
        <f>Assumptions!J57</f>
        <v>4000</v>
      </c>
      <c r="K29" s="48">
        <f>Assumptions!K57</f>
        <v>4000</v>
      </c>
      <c r="L29" s="48">
        <f>Assumptions!L57</f>
        <v>4000</v>
      </c>
      <c r="M29" s="48">
        <f>Assumptions!M57</f>
        <v>4000</v>
      </c>
      <c r="N29" s="48">
        <f>Assumptions!N57</f>
        <v>4000</v>
      </c>
      <c r="O29" s="48">
        <f>Assumptions!O57</f>
        <v>4000</v>
      </c>
      <c r="P29" s="48">
        <f>Assumptions!P57</f>
        <v>4000</v>
      </c>
      <c r="Q29" s="48">
        <f>Assumptions!Q57</f>
        <v>4000</v>
      </c>
      <c r="R29" s="48">
        <f>Assumptions!R57</f>
        <v>4000</v>
      </c>
      <c r="S29" s="48">
        <f>Assumptions!S57</f>
        <v>4000</v>
      </c>
      <c r="T29" s="48">
        <f>Assumptions!T57</f>
        <v>4000</v>
      </c>
      <c r="U29" s="48">
        <f>Assumptions!U57</f>
        <v>4000</v>
      </c>
      <c r="V29" s="48">
        <f>Assumptions!V57</f>
        <v>4000</v>
      </c>
      <c r="W29" s="48">
        <f>Assumptions!W57</f>
        <v>4000</v>
      </c>
      <c r="X29" s="48">
        <f>Assumptions!X57</f>
        <v>4000</v>
      </c>
      <c r="Y29" s="48">
        <f>Assumptions!Y57</f>
        <v>4000</v>
      </c>
      <c r="Z29" s="48">
        <f>Assumptions!Z57</f>
        <v>4000</v>
      </c>
      <c r="AA29" s="48">
        <f>Assumptions!AA57</f>
        <v>4000</v>
      </c>
      <c r="AB29" s="48">
        <f>Assumptions!AB57</f>
        <v>4000</v>
      </c>
      <c r="AC29" s="48">
        <f>Assumptions!AC57</f>
        <v>4000</v>
      </c>
      <c r="AD29" s="48">
        <f>Assumptions!AD57</f>
        <v>4000</v>
      </c>
      <c r="AE29" s="48">
        <f>Assumptions!AE57</f>
        <v>4000</v>
      </c>
      <c r="AF29" s="48">
        <f>Assumptions!AF57</f>
        <v>4000</v>
      </c>
      <c r="AG29" s="48">
        <f>Assumptions!AG57</f>
        <v>4000</v>
      </c>
      <c r="AH29" s="48">
        <f>Assumptions!AH57</f>
        <v>4000</v>
      </c>
      <c r="AI29" s="48">
        <f>Assumptions!AI57</f>
        <v>4000</v>
      </c>
      <c r="AJ29" s="48">
        <f>Assumptions!AJ57</f>
        <v>4000</v>
      </c>
      <c r="AK29" s="48">
        <f>Assumptions!AK57</f>
        <v>4000</v>
      </c>
      <c r="AL29" s="48">
        <f>Assumptions!AL57</f>
        <v>4000</v>
      </c>
    </row>
    <row r="30" spans="1:38" x14ac:dyDescent="0.2">
      <c r="A30" s="53" t="s">
        <v>133</v>
      </c>
      <c r="B30" s="2"/>
      <c r="C30" s="48">
        <f>Assumptions!C58</f>
        <v>0</v>
      </c>
      <c r="D30" s="48">
        <f>Assumptions!D58</f>
        <v>0</v>
      </c>
      <c r="E30" s="48">
        <f>Assumptions!E58</f>
        <v>0</v>
      </c>
      <c r="F30" s="48">
        <f>Assumptions!F58</f>
        <v>0</v>
      </c>
      <c r="G30" s="48">
        <f>Assumptions!G58</f>
        <v>0</v>
      </c>
      <c r="H30" s="48">
        <f>Assumptions!H58</f>
        <v>0</v>
      </c>
      <c r="I30" s="48">
        <f>Assumptions!I58</f>
        <v>0</v>
      </c>
      <c r="J30" s="48">
        <f>Assumptions!J58</f>
        <v>1800</v>
      </c>
      <c r="K30" s="48">
        <f>Assumptions!K58</f>
        <v>1800</v>
      </c>
      <c r="L30" s="48">
        <f>Assumptions!L58</f>
        <v>1800</v>
      </c>
      <c r="M30" s="48">
        <f>Assumptions!M58</f>
        <v>1800</v>
      </c>
      <c r="N30" s="48">
        <f>Assumptions!N58</f>
        <v>1800</v>
      </c>
      <c r="O30" s="48">
        <f>Assumptions!O58</f>
        <v>1800</v>
      </c>
      <c r="P30" s="48">
        <f>Assumptions!P58</f>
        <v>1800</v>
      </c>
      <c r="Q30" s="48">
        <f>Assumptions!Q58</f>
        <v>1800</v>
      </c>
      <c r="R30" s="48">
        <f>Assumptions!R58</f>
        <v>1800</v>
      </c>
      <c r="S30" s="48">
        <f>Assumptions!S58</f>
        <v>1800</v>
      </c>
      <c r="T30" s="48">
        <f>Assumptions!T58</f>
        <v>1800</v>
      </c>
      <c r="U30" s="48">
        <f>Assumptions!U58</f>
        <v>1800</v>
      </c>
      <c r="V30" s="48">
        <f>Assumptions!V58</f>
        <v>1800</v>
      </c>
      <c r="W30" s="48">
        <f>Assumptions!W58</f>
        <v>1800</v>
      </c>
      <c r="X30" s="48">
        <f>Assumptions!X58</f>
        <v>1800</v>
      </c>
      <c r="Y30" s="48">
        <f>Assumptions!Y58</f>
        <v>1800</v>
      </c>
      <c r="Z30" s="48">
        <f>Assumptions!Z58</f>
        <v>1800</v>
      </c>
      <c r="AA30" s="48">
        <f>Assumptions!AA58</f>
        <v>1800</v>
      </c>
      <c r="AB30" s="48">
        <f>Assumptions!AB58</f>
        <v>1800</v>
      </c>
      <c r="AC30" s="48">
        <f>Assumptions!AC58</f>
        <v>1800</v>
      </c>
      <c r="AD30" s="48">
        <f>Assumptions!AD58</f>
        <v>1800</v>
      </c>
      <c r="AE30" s="48">
        <f>Assumptions!AE58</f>
        <v>1800</v>
      </c>
      <c r="AF30" s="48">
        <f>Assumptions!AF58</f>
        <v>1800</v>
      </c>
      <c r="AG30" s="48">
        <f>Assumptions!AG58</f>
        <v>1800</v>
      </c>
      <c r="AH30" s="48">
        <f>Assumptions!AH58</f>
        <v>1800</v>
      </c>
      <c r="AI30" s="48">
        <f>Assumptions!AI58</f>
        <v>1800</v>
      </c>
      <c r="AJ30" s="48">
        <f>Assumptions!AJ58</f>
        <v>1800</v>
      </c>
      <c r="AK30" s="48">
        <f>Assumptions!AK58</f>
        <v>1800</v>
      </c>
      <c r="AL30" s="48">
        <f>Assumptions!AL58</f>
        <v>1800</v>
      </c>
    </row>
    <row r="31" spans="1:38" x14ac:dyDescent="0.2">
      <c r="A31" s="53" t="s">
        <v>134</v>
      </c>
      <c r="B31" s="2"/>
      <c r="C31" s="48">
        <f>Assumptions!C59</f>
        <v>0</v>
      </c>
      <c r="D31" s="48">
        <f>Assumptions!D59</f>
        <v>0</v>
      </c>
      <c r="E31" s="48">
        <f>Assumptions!E59</f>
        <v>0</v>
      </c>
      <c r="F31" s="48">
        <f>Assumptions!F59</f>
        <v>0</v>
      </c>
      <c r="G31" s="48">
        <f>Assumptions!G59</f>
        <v>0</v>
      </c>
      <c r="H31" s="48">
        <f>Assumptions!H59</f>
        <v>0</v>
      </c>
      <c r="I31" s="48">
        <f>Assumptions!I59</f>
        <v>0</v>
      </c>
      <c r="J31" s="48">
        <f>Assumptions!J59</f>
        <v>0</v>
      </c>
      <c r="K31" s="48">
        <f>Assumptions!K59</f>
        <v>0</v>
      </c>
      <c r="L31" s="48">
        <f>Assumptions!L59</f>
        <v>0</v>
      </c>
      <c r="M31" s="48">
        <f>Assumptions!M59</f>
        <v>0</v>
      </c>
      <c r="N31" s="48">
        <f>Assumptions!N59</f>
        <v>0</v>
      </c>
      <c r="O31" s="48">
        <f>Assumptions!O59</f>
        <v>2000</v>
      </c>
      <c r="P31" s="48">
        <f>Assumptions!P59</f>
        <v>2000</v>
      </c>
      <c r="Q31" s="48">
        <f>Assumptions!Q59</f>
        <v>2000</v>
      </c>
      <c r="R31" s="48">
        <f>Assumptions!R59</f>
        <v>2000</v>
      </c>
      <c r="S31" s="48">
        <f>Assumptions!S59</f>
        <v>2000</v>
      </c>
      <c r="T31" s="48">
        <f>Assumptions!T59</f>
        <v>2000</v>
      </c>
      <c r="U31" s="48">
        <f>Assumptions!U59</f>
        <v>2000</v>
      </c>
      <c r="V31" s="48">
        <f>Assumptions!V59</f>
        <v>2000</v>
      </c>
      <c r="W31" s="48">
        <f>Assumptions!W59</f>
        <v>2000</v>
      </c>
      <c r="X31" s="48">
        <f>Assumptions!X59</f>
        <v>2000</v>
      </c>
      <c r="Y31" s="48">
        <f>Assumptions!Y59</f>
        <v>2000</v>
      </c>
      <c r="Z31" s="48">
        <f>Assumptions!Z59</f>
        <v>2000</v>
      </c>
      <c r="AA31" s="48">
        <f>Assumptions!AA59</f>
        <v>2000</v>
      </c>
      <c r="AB31" s="48">
        <f>Assumptions!AB59</f>
        <v>2000</v>
      </c>
      <c r="AC31" s="48">
        <f>Assumptions!AC59</f>
        <v>2000</v>
      </c>
      <c r="AD31" s="48">
        <f>Assumptions!AD59</f>
        <v>2000</v>
      </c>
      <c r="AE31" s="48">
        <f>Assumptions!AE59</f>
        <v>2000</v>
      </c>
      <c r="AF31" s="48">
        <f>Assumptions!AF59</f>
        <v>2000</v>
      </c>
      <c r="AG31" s="48">
        <f>Assumptions!AG59</f>
        <v>2000</v>
      </c>
      <c r="AH31" s="48">
        <f>Assumptions!AH59</f>
        <v>2000</v>
      </c>
      <c r="AI31" s="48">
        <f>Assumptions!AI59</f>
        <v>2000</v>
      </c>
      <c r="AJ31" s="48">
        <f>Assumptions!AJ59</f>
        <v>2000</v>
      </c>
      <c r="AK31" s="48">
        <f>Assumptions!AK59</f>
        <v>2000</v>
      </c>
      <c r="AL31" s="48">
        <f>Assumptions!AL59</f>
        <v>2000</v>
      </c>
    </row>
    <row r="32" spans="1:38" x14ac:dyDescent="0.2">
      <c r="A32" s="53" t="s">
        <v>135</v>
      </c>
      <c r="B32" s="2"/>
      <c r="C32" s="48">
        <f>C28+C29+C30+C31</f>
        <v>5500</v>
      </c>
      <c r="D32" s="48">
        <f t="shared" ref="D32:AL32" si="5">D28+D29+D30+D31</f>
        <v>5500</v>
      </c>
      <c r="E32" s="48">
        <f t="shared" si="5"/>
        <v>5500</v>
      </c>
      <c r="F32" s="48">
        <f t="shared" si="5"/>
        <v>5500</v>
      </c>
      <c r="G32" s="48">
        <f t="shared" si="5"/>
        <v>5500</v>
      </c>
      <c r="H32" s="48">
        <f t="shared" si="5"/>
        <v>5500</v>
      </c>
      <c r="I32" s="48">
        <f t="shared" si="5"/>
        <v>5500</v>
      </c>
      <c r="J32" s="48">
        <f t="shared" si="5"/>
        <v>11300</v>
      </c>
      <c r="K32" s="48">
        <f t="shared" si="5"/>
        <v>11300</v>
      </c>
      <c r="L32" s="48">
        <f t="shared" si="5"/>
        <v>11300</v>
      </c>
      <c r="M32" s="48">
        <f t="shared" si="5"/>
        <v>11300</v>
      </c>
      <c r="N32" s="48">
        <f t="shared" si="5"/>
        <v>11300</v>
      </c>
      <c r="O32" s="48">
        <f t="shared" si="5"/>
        <v>13300</v>
      </c>
      <c r="P32" s="48">
        <f t="shared" si="5"/>
        <v>13300</v>
      </c>
      <c r="Q32" s="48">
        <f t="shared" si="5"/>
        <v>13300</v>
      </c>
      <c r="R32" s="48">
        <f t="shared" si="5"/>
        <v>13300</v>
      </c>
      <c r="S32" s="48">
        <f t="shared" si="5"/>
        <v>13300</v>
      </c>
      <c r="T32" s="48">
        <f t="shared" si="5"/>
        <v>13300</v>
      </c>
      <c r="U32" s="48">
        <f t="shared" si="5"/>
        <v>13300</v>
      </c>
      <c r="V32" s="48">
        <f t="shared" si="5"/>
        <v>13300</v>
      </c>
      <c r="W32" s="48">
        <f t="shared" si="5"/>
        <v>13300</v>
      </c>
      <c r="X32" s="48">
        <f t="shared" si="5"/>
        <v>13300</v>
      </c>
      <c r="Y32" s="48">
        <f t="shared" si="5"/>
        <v>13300</v>
      </c>
      <c r="Z32" s="48">
        <f t="shared" si="5"/>
        <v>13300</v>
      </c>
      <c r="AA32" s="48">
        <f t="shared" si="5"/>
        <v>13300</v>
      </c>
      <c r="AB32" s="48">
        <f t="shared" si="5"/>
        <v>13300</v>
      </c>
      <c r="AC32" s="48">
        <f t="shared" si="5"/>
        <v>13300</v>
      </c>
      <c r="AD32" s="48">
        <f t="shared" si="5"/>
        <v>13300</v>
      </c>
      <c r="AE32" s="48">
        <f t="shared" si="5"/>
        <v>13300</v>
      </c>
      <c r="AF32" s="48">
        <f t="shared" si="5"/>
        <v>13300</v>
      </c>
      <c r="AG32" s="48">
        <f t="shared" si="5"/>
        <v>13300</v>
      </c>
      <c r="AH32" s="48">
        <f t="shared" si="5"/>
        <v>13300</v>
      </c>
      <c r="AI32" s="48">
        <f t="shared" si="5"/>
        <v>13300</v>
      </c>
      <c r="AJ32" s="48">
        <f t="shared" si="5"/>
        <v>13300</v>
      </c>
      <c r="AK32" s="48">
        <f t="shared" si="5"/>
        <v>13300</v>
      </c>
      <c r="AL32" s="48">
        <f t="shared" si="5"/>
        <v>13300</v>
      </c>
    </row>
    <row r="33" spans="1:38" x14ac:dyDescent="0.2">
      <c r="A33" s="53" t="s">
        <v>136</v>
      </c>
      <c r="B33" s="2"/>
      <c r="C33" s="48">
        <f>C32*Assumptions!$B$60</f>
        <v>880</v>
      </c>
      <c r="D33" s="48">
        <f>D32*Assumptions!$B$60</f>
        <v>880</v>
      </c>
      <c r="E33" s="48">
        <f>E32*Assumptions!$B$60</f>
        <v>880</v>
      </c>
      <c r="F33" s="48">
        <f>F32*Assumptions!$B$60</f>
        <v>880</v>
      </c>
      <c r="G33" s="48">
        <f>G32*Assumptions!$B$60</f>
        <v>880</v>
      </c>
      <c r="H33" s="48">
        <f>H32*Assumptions!$B$60</f>
        <v>880</v>
      </c>
      <c r="I33" s="48">
        <f>I32*Assumptions!$B$60</f>
        <v>880</v>
      </c>
      <c r="J33" s="48">
        <f>J32*Assumptions!$B$60</f>
        <v>1808</v>
      </c>
      <c r="K33" s="48">
        <f>K32*Assumptions!$B$60</f>
        <v>1808</v>
      </c>
      <c r="L33" s="48">
        <f>L32*Assumptions!$B$60</f>
        <v>1808</v>
      </c>
      <c r="M33" s="48">
        <f>M32*Assumptions!$B$60</f>
        <v>1808</v>
      </c>
      <c r="N33" s="48">
        <f>N32*Assumptions!$B$60</f>
        <v>1808</v>
      </c>
      <c r="O33" s="48">
        <f>O32*Assumptions!$B$60</f>
        <v>2128</v>
      </c>
      <c r="P33" s="48">
        <f>P32*Assumptions!$B$60</f>
        <v>2128</v>
      </c>
      <c r="Q33" s="48">
        <f>Q32*Assumptions!$B$60</f>
        <v>2128</v>
      </c>
      <c r="R33" s="48">
        <f>R32*Assumptions!$B$60</f>
        <v>2128</v>
      </c>
      <c r="S33" s="48">
        <f>S32*Assumptions!$B$60</f>
        <v>2128</v>
      </c>
      <c r="T33" s="48">
        <f>T32*Assumptions!$B$60</f>
        <v>2128</v>
      </c>
      <c r="U33" s="48">
        <f>U32*Assumptions!$B$60</f>
        <v>2128</v>
      </c>
      <c r="V33" s="48">
        <f>V32*Assumptions!$B$60</f>
        <v>2128</v>
      </c>
      <c r="W33" s="48">
        <f>W32*Assumptions!$B$60</f>
        <v>2128</v>
      </c>
      <c r="X33" s="48">
        <f>X32*Assumptions!$B$60</f>
        <v>2128</v>
      </c>
      <c r="Y33" s="48">
        <f>Y32*Assumptions!$B$60</f>
        <v>2128</v>
      </c>
      <c r="Z33" s="48">
        <f>Z32*Assumptions!$B$60</f>
        <v>2128</v>
      </c>
      <c r="AA33" s="48">
        <f>AA32*Assumptions!$B$60</f>
        <v>2128</v>
      </c>
      <c r="AB33" s="48">
        <f>AB32*Assumptions!$B$60</f>
        <v>2128</v>
      </c>
      <c r="AC33" s="48">
        <f>AC32*Assumptions!$B$60</f>
        <v>2128</v>
      </c>
      <c r="AD33" s="48">
        <f>AD32*Assumptions!$B$60</f>
        <v>2128</v>
      </c>
      <c r="AE33" s="48">
        <f>AE32*Assumptions!$B$60</f>
        <v>2128</v>
      </c>
      <c r="AF33" s="48">
        <f>AF32*Assumptions!$B$60</f>
        <v>2128</v>
      </c>
      <c r="AG33" s="48">
        <f>AG32*Assumptions!$B$60</f>
        <v>2128</v>
      </c>
      <c r="AH33" s="48">
        <f>AH32*Assumptions!$B$60</f>
        <v>2128</v>
      </c>
      <c r="AI33" s="48">
        <f>AI32*Assumptions!$B$60</f>
        <v>2128</v>
      </c>
      <c r="AJ33" s="48">
        <f>AJ32*Assumptions!$B$60</f>
        <v>2128</v>
      </c>
      <c r="AK33" s="48">
        <f>AK32*Assumptions!$B$60</f>
        <v>2128</v>
      </c>
      <c r="AL33" s="48">
        <f>AL32*Assumptions!$B$60</f>
        <v>2128</v>
      </c>
    </row>
    <row r="34" spans="1:38" x14ac:dyDescent="0.2">
      <c r="A34" s="53" t="s">
        <v>137</v>
      </c>
      <c r="B34" s="2"/>
      <c r="C34" s="48">
        <f>C32+C33</f>
        <v>6380</v>
      </c>
      <c r="D34" s="48">
        <f t="shared" ref="D34:AL34" si="6">D32+D33</f>
        <v>6380</v>
      </c>
      <c r="E34" s="48">
        <f t="shared" si="6"/>
        <v>6380</v>
      </c>
      <c r="F34" s="48">
        <f t="shared" si="6"/>
        <v>6380</v>
      </c>
      <c r="G34" s="48">
        <f t="shared" si="6"/>
        <v>6380</v>
      </c>
      <c r="H34" s="48">
        <f t="shared" si="6"/>
        <v>6380</v>
      </c>
      <c r="I34" s="48">
        <f t="shared" si="6"/>
        <v>6380</v>
      </c>
      <c r="J34" s="48">
        <f t="shared" si="6"/>
        <v>13108</v>
      </c>
      <c r="K34" s="48">
        <f t="shared" si="6"/>
        <v>13108</v>
      </c>
      <c r="L34" s="48">
        <f t="shared" si="6"/>
        <v>13108</v>
      </c>
      <c r="M34" s="48">
        <f t="shared" si="6"/>
        <v>13108</v>
      </c>
      <c r="N34" s="48">
        <f t="shared" si="6"/>
        <v>13108</v>
      </c>
      <c r="O34" s="48">
        <f t="shared" si="6"/>
        <v>15428</v>
      </c>
      <c r="P34" s="48">
        <f t="shared" si="6"/>
        <v>15428</v>
      </c>
      <c r="Q34" s="48">
        <f t="shared" si="6"/>
        <v>15428</v>
      </c>
      <c r="R34" s="48">
        <f t="shared" si="6"/>
        <v>15428</v>
      </c>
      <c r="S34" s="48">
        <f t="shared" si="6"/>
        <v>15428</v>
      </c>
      <c r="T34" s="48">
        <f t="shared" si="6"/>
        <v>15428</v>
      </c>
      <c r="U34" s="48">
        <f t="shared" si="6"/>
        <v>15428</v>
      </c>
      <c r="V34" s="48">
        <f t="shared" si="6"/>
        <v>15428</v>
      </c>
      <c r="W34" s="48">
        <f t="shared" si="6"/>
        <v>15428</v>
      </c>
      <c r="X34" s="48">
        <f t="shared" si="6"/>
        <v>15428</v>
      </c>
      <c r="Y34" s="48">
        <f t="shared" si="6"/>
        <v>15428</v>
      </c>
      <c r="Z34" s="48">
        <f t="shared" si="6"/>
        <v>15428</v>
      </c>
      <c r="AA34" s="48">
        <f t="shared" si="6"/>
        <v>15428</v>
      </c>
      <c r="AB34" s="48">
        <f t="shared" si="6"/>
        <v>15428</v>
      </c>
      <c r="AC34" s="48">
        <f t="shared" si="6"/>
        <v>15428</v>
      </c>
      <c r="AD34" s="48">
        <f t="shared" si="6"/>
        <v>15428</v>
      </c>
      <c r="AE34" s="48">
        <f t="shared" si="6"/>
        <v>15428</v>
      </c>
      <c r="AF34" s="48">
        <f t="shared" si="6"/>
        <v>15428</v>
      </c>
      <c r="AG34" s="48">
        <f t="shared" si="6"/>
        <v>15428</v>
      </c>
      <c r="AH34" s="48">
        <f t="shared" si="6"/>
        <v>15428</v>
      </c>
      <c r="AI34" s="48">
        <f t="shared" si="6"/>
        <v>15428</v>
      </c>
      <c r="AJ34" s="48">
        <f t="shared" si="6"/>
        <v>15428</v>
      </c>
      <c r="AK34" s="48">
        <f t="shared" si="6"/>
        <v>15428</v>
      </c>
      <c r="AL34" s="48">
        <f t="shared" si="6"/>
        <v>15428</v>
      </c>
    </row>
    <row r="35" spans="1:38" x14ac:dyDescent="0.2">
      <c r="A35" s="59" t="s">
        <v>383</v>
      </c>
      <c r="B35" s="60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</row>
    <row r="36" spans="1:38" x14ac:dyDescent="0.2">
      <c r="A36" s="53" t="s">
        <v>45</v>
      </c>
      <c r="B36" s="2"/>
      <c r="C36" s="48">
        <f>Assumptions!C62</f>
        <v>500</v>
      </c>
      <c r="D36" s="48">
        <f>Assumptions!D62</f>
        <v>500</v>
      </c>
      <c r="E36" s="48">
        <f>Assumptions!E62</f>
        <v>500</v>
      </c>
      <c r="F36" s="48">
        <f>Assumptions!F62</f>
        <v>500</v>
      </c>
      <c r="G36" s="48">
        <f>Assumptions!G62</f>
        <v>500</v>
      </c>
      <c r="H36" s="48">
        <f>Assumptions!H62</f>
        <v>500</v>
      </c>
      <c r="I36" s="48">
        <f>Assumptions!I62</f>
        <v>500</v>
      </c>
      <c r="J36" s="48">
        <f>Assumptions!J62</f>
        <v>500</v>
      </c>
      <c r="K36" s="48">
        <f>Assumptions!K62</f>
        <v>500</v>
      </c>
      <c r="L36" s="48">
        <f>Assumptions!L62</f>
        <v>500</v>
      </c>
      <c r="M36" s="48">
        <f>Assumptions!M62</f>
        <v>500</v>
      </c>
      <c r="N36" s="48">
        <f>Assumptions!N62</f>
        <v>500</v>
      </c>
      <c r="O36" s="48">
        <f>Assumptions!O62</f>
        <v>500</v>
      </c>
      <c r="P36" s="48">
        <f>Assumptions!P62</f>
        <v>500</v>
      </c>
      <c r="Q36" s="48">
        <f>Assumptions!Q62</f>
        <v>500</v>
      </c>
      <c r="R36" s="48">
        <f>Assumptions!R62</f>
        <v>500</v>
      </c>
      <c r="S36" s="48">
        <f>Assumptions!S62</f>
        <v>500</v>
      </c>
      <c r="T36" s="48">
        <f>Assumptions!T62</f>
        <v>500</v>
      </c>
      <c r="U36" s="48">
        <f>Assumptions!U62</f>
        <v>500</v>
      </c>
      <c r="V36" s="48">
        <f>Assumptions!V62</f>
        <v>500</v>
      </c>
      <c r="W36" s="48">
        <f>Assumptions!W62</f>
        <v>500</v>
      </c>
      <c r="X36" s="48">
        <f>Assumptions!X62</f>
        <v>500</v>
      </c>
      <c r="Y36" s="48">
        <f>Assumptions!Y62</f>
        <v>500</v>
      </c>
      <c r="Z36" s="48">
        <f>Assumptions!Z62</f>
        <v>500</v>
      </c>
      <c r="AA36" s="48">
        <f>Assumptions!AA62</f>
        <v>500</v>
      </c>
      <c r="AB36" s="48">
        <f>Assumptions!AB62</f>
        <v>500</v>
      </c>
      <c r="AC36" s="48">
        <f>Assumptions!AC62</f>
        <v>500</v>
      </c>
      <c r="AD36" s="48">
        <f>Assumptions!AD62</f>
        <v>500</v>
      </c>
      <c r="AE36" s="48">
        <f>Assumptions!AE62</f>
        <v>500</v>
      </c>
      <c r="AF36" s="48">
        <f>Assumptions!AF62</f>
        <v>500</v>
      </c>
      <c r="AG36" s="48">
        <f>Assumptions!AG62</f>
        <v>500</v>
      </c>
      <c r="AH36" s="48">
        <f>Assumptions!AH62</f>
        <v>500</v>
      </c>
      <c r="AI36" s="48">
        <f>Assumptions!AI62</f>
        <v>500</v>
      </c>
      <c r="AJ36" s="48">
        <f>Assumptions!AJ62</f>
        <v>500</v>
      </c>
      <c r="AK36" s="48">
        <f>Assumptions!AK62</f>
        <v>500</v>
      </c>
      <c r="AL36" s="48">
        <f>Assumptions!AL62</f>
        <v>500</v>
      </c>
    </row>
    <row r="37" spans="1:38" x14ac:dyDescent="0.2">
      <c r="A37" s="53" t="s">
        <v>46</v>
      </c>
      <c r="B37" s="2"/>
      <c r="C37" s="48">
        <f>Assumptions!C63</f>
        <v>50</v>
      </c>
      <c r="D37" s="48">
        <f>Assumptions!D63</f>
        <v>50</v>
      </c>
      <c r="E37" s="48">
        <f>Assumptions!E63</f>
        <v>50</v>
      </c>
      <c r="F37" s="48">
        <f>Assumptions!F63</f>
        <v>50</v>
      </c>
      <c r="G37" s="48">
        <f>Assumptions!G63</f>
        <v>50</v>
      </c>
      <c r="H37" s="48">
        <f>Assumptions!H63</f>
        <v>50</v>
      </c>
      <c r="I37" s="48">
        <f>Assumptions!I63</f>
        <v>50</v>
      </c>
      <c r="J37" s="48">
        <f>Assumptions!J63</f>
        <v>50</v>
      </c>
      <c r="K37" s="48">
        <f>Assumptions!K63</f>
        <v>50</v>
      </c>
      <c r="L37" s="48">
        <f>Assumptions!L63</f>
        <v>50</v>
      </c>
      <c r="M37" s="48">
        <f>Assumptions!M63</f>
        <v>50</v>
      </c>
      <c r="N37" s="48">
        <f>Assumptions!N63</f>
        <v>50</v>
      </c>
      <c r="O37" s="48">
        <f>Assumptions!O63</f>
        <v>50</v>
      </c>
      <c r="P37" s="48">
        <f>Assumptions!P63</f>
        <v>50</v>
      </c>
      <c r="Q37" s="48">
        <f>Assumptions!Q63</f>
        <v>50</v>
      </c>
      <c r="R37" s="48">
        <f>Assumptions!R63</f>
        <v>50</v>
      </c>
      <c r="S37" s="48">
        <f>Assumptions!S63</f>
        <v>50</v>
      </c>
      <c r="T37" s="48">
        <f>Assumptions!T63</f>
        <v>50</v>
      </c>
      <c r="U37" s="48">
        <f>Assumptions!U63</f>
        <v>50</v>
      </c>
      <c r="V37" s="48">
        <f>Assumptions!V63</f>
        <v>50</v>
      </c>
      <c r="W37" s="48">
        <f>Assumptions!W63</f>
        <v>50</v>
      </c>
      <c r="X37" s="48">
        <f>Assumptions!X63</f>
        <v>50</v>
      </c>
      <c r="Y37" s="48">
        <f>Assumptions!Y63</f>
        <v>50</v>
      </c>
      <c r="Z37" s="48">
        <f>Assumptions!Z63</f>
        <v>50</v>
      </c>
      <c r="AA37" s="48">
        <f>Assumptions!AA63</f>
        <v>50</v>
      </c>
      <c r="AB37" s="48">
        <f>Assumptions!AB63</f>
        <v>50</v>
      </c>
      <c r="AC37" s="48">
        <f>Assumptions!AC63</f>
        <v>50</v>
      </c>
      <c r="AD37" s="48">
        <f>Assumptions!AD63</f>
        <v>50</v>
      </c>
      <c r="AE37" s="48">
        <f>Assumptions!AE63</f>
        <v>50</v>
      </c>
      <c r="AF37" s="48">
        <f>Assumptions!AF63</f>
        <v>50</v>
      </c>
      <c r="AG37" s="48">
        <f>Assumptions!AG63</f>
        <v>50</v>
      </c>
      <c r="AH37" s="48">
        <f>Assumptions!AH63</f>
        <v>50</v>
      </c>
      <c r="AI37" s="48">
        <f>Assumptions!AI63</f>
        <v>50</v>
      </c>
      <c r="AJ37" s="48">
        <f>Assumptions!AJ63</f>
        <v>50</v>
      </c>
      <c r="AK37" s="48">
        <f>Assumptions!AK63</f>
        <v>50</v>
      </c>
      <c r="AL37" s="48">
        <f>Assumptions!AL63</f>
        <v>50</v>
      </c>
    </row>
    <row r="38" spans="1:38" x14ac:dyDescent="0.2">
      <c r="A38" s="53" t="s">
        <v>47</v>
      </c>
      <c r="B38" s="2"/>
      <c r="C38" s="48">
        <f>Assumptions!C64</f>
        <v>260</v>
      </c>
      <c r="D38" s="48">
        <f>Assumptions!D64</f>
        <v>260</v>
      </c>
      <c r="E38" s="48">
        <f>Assumptions!E64</f>
        <v>260</v>
      </c>
      <c r="F38" s="48">
        <f>Assumptions!F64</f>
        <v>260</v>
      </c>
      <c r="G38" s="48">
        <f>Assumptions!G64</f>
        <v>260</v>
      </c>
      <c r="H38" s="48">
        <f>Assumptions!H64</f>
        <v>260</v>
      </c>
      <c r="I38" s="48">
        <f>Assumptions!I64</f>
        <v>260</v>
      </c>
      <c r="J38" s="48">
        <f>Assumptions!J64</f>
        <v>260</v>
      </c>
      <c r="K38" s="48">
        <f>Assumptions!K64</f>
        <v>260</v>
      </c>
      <c r="L38" s="48">
        <f>Assumptions!L64</f>
        <v>260</v>
      </c>
      <c r="M38" s="48">
        <f>Assumptions!M64</f>
        <v>260</v>
      </c>
      <c r="N38" s="48">
        <f>Assumptions!N64</f>
        <v>260</v>
      </c>
      <c r="O38" s="48">
        <f>Assumptions!O64</f>
        <v>260</v>
      </c>
      <c r="P38" s="48">
        <f>Assumptions!P64</f>
        <v>260</v>
      </c>
      <c r="Q38" s="48">
        <f>Assumptions!Q64</f>
        <v>260</v>
      </c>
      <c r="R38" s="48">
        <f>Assumptions!R64</f>
        <v>260</v>
      </c>
      <c r="S38" s="48">
        <f>Assumptions!S64</f>
        <v>260</v>
      </c>
      <c r="T38" s="48">
        <f>Assumptions!T64</f>
        <v>260</v>
      </c>
      <c r="U38" s="48">
        <f>Assumptions!U64</f>
        <v>260</v>
      </c>
      <c r="V38" s="48">
        <f>Assumptions!V64</f>
        <v>260</v>
      </c>
      <c r="W38" s="48">
        <f>Assumptions!W64</f>
        <v>260</v>
      </c>
      <c r="X38" s="48">
        <f>Assumptions!X64</f>
        <v>260</v>
      </c>
      <c r="Y38" s="48">
        <f>Assumptions!Y64</f>
        <v>260</v>
      </c>
      <c r="Z38" s="48">
        <f>Assumptions!Z64</f>
        <v>260</v>
      </c>
      <c r="AA38" s="48">
        <f>Assumptions!AA64</f>
        <v>260</v>
      </c>
      <c r="AB38" s="48">
        <f>Assumptions!AB64</f>
        <v>260</v>
      </c>
      <c r="AC38" s="48">
        <f>Assumptions!AC64</f>
        <v>260</v>
      </c>
      <c r="AD38" s="48">
        <f>Assumptions!AD64</f>
        <v>260</v>
      </c>
      <c r="AE38" s="48">
        <f>Assumptions!AE64</f>
        <v>260</v>
      </c>
      <c r="AF38" s="48">
        <f>Assumptions!AF64</f>
        <v>260</v>
      </c>
      <c r="AG38" s="48">
        <f>Assumptions!AG64</f>
        <v>260</v>
      </c>
      <c r="AH38" s="48">
        <f>Assumptions!AH64</f>
        <v>260</v>
      </c>
      <c r="AI38" s="48">
        <f>Assumptions!AI64</f>
        <v>260</v>
      </c>
      <c r="AJ38" s="48">
        <f>Assumptions!AJ64</f>
        <v>260</v>
      </c>
      <c r="AK38" s="48">
        <f>Assumptions!AK64</f>
        <v>260</v>
      </c>
      <c r="AL38" s="48">
        <f>Assumptions!AL64</f>
        <v>260</v>
      </c>
    </row>
    <row r="39" spans="1:38" x14ac:dyDescent="0.2">
      <c r="A39" s="53" t="s">
        <v>48</v>
      </c>
      <c r="B39" s="2"/>
      <c r="C39" s="48">
        <f>Assumptions!C65</f>
        <v>0</v>
      </c>
      <c r="D39" s="48">
        <f>Assumptions!D65</f>
        <v>0</v>
      </c>
      <c r="E39" s="48">
        <f>Assumptions!E65</f>
        <v>0</v>
      </c>
      <c r="F39" s="48">
        <f>Assumptions!F65</f>
        <v>0</v>
      </c>
      <c r="G39" s="48">
        <f>Assumptions!G65</f>
        <v>0</v>
      </c>
      <c r="H39" s="48">
        <f>Assumptions!H65</f>
        <v>0</v>
      </c>
      <c r="I39" s="48">
        <f>Assumptions!I65</f>
        <v>0</v>
      </c>
      <c r="J39" s="48">
        <f>Assumptions!J65</f>
        <v>0</v>
      </c>
      <c r="K39" s="48">
        <f>Assumptions!K65</f>
        <v>0</v>
      </c>
      <c r="L39" s="48">
        <f>Assumptions!L65</f>
        <v>0</v>
      </c>
      <c r="M39" s="48">
        <f>Assumptions!M65</f>
        <v>0</v>
      </c>
      <c r="N39" s="48">
        <f>Assumptions!N65</f>
        <v>0</v>
      </c>
      <c r="O39" s="48">
        <f>Assumptions!O65</f>
        <v>0</v>
      </c>
      <c r="P39" s="48">
        <f>Assumptions!P65</f>
        <v>0</v>
      </c>
      <c r="Q39" s="48">
        <f>Assumptions!Q65</f>
        <v>0</v>
      </c>
      <c r="R39" s="48">
        <f>Assumptions!R65</f>
        <v>0</v>
      </c>
      <c r="S39" s="48">
        <f>Assumptions!S65</f>
        <v>0</v>
      </c>
      <c r="T39" s="48">
        <f>Assumptions!T65</f>
        <v>0</v>
      </c>
      <c r="U39" s="48">
        <f>Assumptions!U65</f>
        <v>0</v>
      </c>
      <c r="V39" s="48">
        <f>Assumptions!V65</f>
        <v>0</v>
      </c>
      <c r="W39" s="48">
        <f>Assumptions!W65</f>
        <v>0</v>
      </c>
      <c r="X39" s="48">
        <f>Assumptions!X65</f>
        <v>0</v>
      </c>
      <c r="Y39" s="48">
        <f>Assumptions!Y65</f>
        <v>0</v>
      </c>
      <c r="Z39" s="48">
        <f>Assumptions!Z65</f>
        <v>0</v>
      </c>
      <c r="AA39" s="48">
        <f>Assumptions!AA65</f>
        <v>0</v>
      </c>
      <c r="AB39" s="48">
        <f>Assumptions!AB65</f>
        <v>0</v>
      </c>
      <c r="AC39" s="48">
        <f>Assumptions!AC65</f>
        <v>0</v>
      </c>
      <c r="AD39" s="48">
        <f>Assumptions!AD65</f>
        <v>0</v>
      </c>
      <c r="AE39" s="48">
        <f>Assumptions!AE65</f>
        <v>0</v>
      </c>
      <c r="AF39" s="48">
        <f>Assumptions!AF65</f>
        <v>0</v>
      </c>
      <c r="AG39" s="48">
        <f>Assumptions!AG65</f>
        <v>0</v>
      </c>
      <c r="AH39" s="48">
        <f>Assumptions!AH65</f>
        <v>0</v>
      </c>
      <c r="AI39" s="48">
        <f>Assumptions!AI65</f>
        <v>0</v>
      </c>
      <c r="AJ39" s="48">
        <f>Assumptions!AJ65</f>
        <v>0</v>
      </c>
      <c r="AK39" s="48">
        <f>Assumptions!AK65</f>
        <v>0</v>
      </c>
      <c r="AL39" s="48">
        <f>Assumptions!AL65</f>
        <v>0</v>
      </c>
    </row>
    <row r="40" spans="1:38" x14ac:dyDescent="0.2">
      <c r="A40" s="53" t="s">
        <v>49</v>
      </c>
      <c r="B40" s="2"/>
      <c r="C40" s="48">
        <f>Assumptions!C66</f>
        <v>200</v>
      </c>
      <c r="D40" s="48">
        <f>Assumptions!D66</f>
        <v>200</v>
      </c>
      <c r="E40" s="48">
        <f>Assumptions!E66</f>
        <v>200</v>
      </c>
      <c r="F40" s="48">
        <f>Assumptions!F66</f>
        <v>200</v>
      </c>
      <c r="G40" s="48">
        <f>Assumptions!G66</f>
        <v>200</v>
      </c>
      <c r="H40" s="48">
        <f>Assumptions!H66</f>
        <v>200</v>
      </c>
      <c r="I40" s="48">
        <f>Assumptions!I66</f>
        <v>500</v>
      </c>
      <c r="J40" s="48">
        <f>Assumptions!J66</f>
        <v>500</v>
      </c>
      <c r="K40" s="48">
        <f>Assumptions!K66</f>
        <v>500</v>
      </c>
      <c r="L40" s="48">
        <f>Assumptions!L66</f>
        <v>500</v>
      </c>
      <c r="M40" s="48">
        <f>Assumptions!M66</f>
        <v>500</v>
      </c>
      <c r="N40" s="48">
        <f>Assumptions!N66</f>
        <v>500</v>
      </c>
      <c r="O40" s="48">
        <f>Assumptions!O66</f>
        <v>500</v>
      </c>
      <c r="P40" s="48">
        <f>Assumptions!P66</f>
        <v>500</v>
      </c>
      <c r="Q40" s="48">
        <f>Assumptions!Q66</f>
        <v>500</v>
      </c>
      <c r="R40" s="48">
        <f>Assumptions!R66</f>
        <v>500</v>
      </c>
      <c r="S40" s="48">
        <f>Assumptions!S66</f>
        <v>500</v>
      </c>
      <c r="T40" s="48">
        <f>Assumptions!T66</f>
        <v>500</v>
      </c>
      <c r="U40" s="48">
        <f>Assumptions!U66</f>
        <v>500</v>
      </c>
      <c r="V40" s="48">
        <f>Assumptions!V66</f>
        <v>500</v>
      </c>
      <c r="W40" s="48">
        <f>Assumptions!W66</f>
        <v>500</v>
      </c>
      <c r="X40" s="48">
        <f>Assumptions!X66</f>
        <v>500</v>
      </c>
      <c r="Y40" s="48">
        <f>Assumptions!Y66</f>
        <v>500</v>
      </c>
      <c r="Z40" s="48">
        <f>Assumptions!Z66</f>
        <v>500</v>
      </c>
      <c r="AA40" s="48">
        <f>Assumptions!AA66</f>
        <v>500</v>
      </c>
      <c r="AB40" s="48">
        <f>Assumptions!AB66</f>
        <v>500</v>
      </c>
      <c r="AC40" s="48">
        <f>Assumptions!AC66</f>
        <v>500</v>
      </c>
      <c r="AD40" s="48">
        <f>Assumptions!AD66</f>
        <v>500</v>
      </c>
      <c r="AE40" s="48">
        <f>Assumptions!AE66</f>
        <v>500</v>
      </c>
      <c r="AF40" s="48">
        <f>Assumptions!AF66</f>
        <v>500</v>
      </c>
      <c r="AG40" s="48">
        <f>Assumptions!AG66</f>
        <v>500</v>
      </c>
      <c r="AH40" s="48">
        <f>Assumptions!AH66</f>
        <v>500</v>
      </c>
      <c r="AI40" s="48">
        <f>Assumptions!AI66</f>
        <v>500</v>
      </c>
      <c r="AJ40" s="48">
        <f>Assumptions!AJ66</f>
        <v>500</v>
      </c>
      <c r="AK40" s="48">
        <f>Assumptions!AK66</f>
        <v>500</v>
      </c>
      <c r="AL40" s="48">
        <f>Assumptions!AL66</f>
        <v>500</v>
      </c>
    </row>
    <row r="41" spans="1:38" x14ac:dyDescent="0.2">
      <c r="A41" s="53" t="s">
        <v>50</v>
      </c>
      <c r="B41" s="2"/>
      <c r="C41" s="48">
        <f>Assumptions!C67</f>
        <v>300</v>
      </c>
      <c r="D41" s="48">
        <f>Assumptions!D67</f>
        <v>300</v>
      </c>
      <c r="E41" s="48">
        <f>Assumptions!E67</f>
        <v>300</v>
      </c>
      <c r="F41" s="48">
        <f>Assumptions!F67</f>
        <v>300</v>
      </c>
      <c r="G41" s="48">
        <f>Assumptions!G67</f>
        <v>300</v>
      </c>
      <c r="H41" s="48">
        <f>Assumptions!H67</f>
        <v>300</v>
      </c>
      <c r="I41" s="48">
        <f>Assumptions!I67</f>
        <v>300</v>
      </c>
      <c r="J41" s="48">
        <f>Assumptions!J67</f>
        <v>300</v>
      </c>
      <c r="K41" s="48">
        <f>Assumptions!K67</f>
        <v>300</v>
      </c>
      <c r="L41" s="48">
        <f>Assumptions!L67</f>
        <v>300</v>
      </c>
      <c r="M41" s="48">
        <f>Assumptions!M67</f>
        <v>300</v>
      </c>
      <c r="N41" s="48">
        <f>Assumptions!N67</f>
        <v>300</v>
      </c>
      <c r="O41" s="48">
        <f>Assumptions!O67</f>
        <v>300</v>
      </c>
      <c r="P41" s="48">
        <f>Assumptions!P67</f>
        <v>300</v>
      </c>
      <c r="Q41" s="48">
        <f>Assumptions!Q67</f>
        <v>300</v>
      </c>
      <c r="R41" s="48">
        <f>Assumptions!R67</f>
        <v>300</v>
      </c>
      <c r="S41" s="48">
        <f>Assumptions!S67</f>
        <v>300</v>
      </c>
      <c r="T41" s="48">
        <f>Assumptions!T67</f>
        <v>300</v>
      </c>
      <c r="U41" s="48">
        <f>Assumptions!U67</f>
        <v>300</v>
      </c>
      <c r="V41" s="48">
        <f>Assumptions!V67</f>
        <v>300</v>
      </c>
      <c r="W41" s="48">
        <f>Assumptions!W67</f>
        <v>300</v>
      </c>
      <c r="X41" s="48">
        <f>Assumptions!X67</f>
        <v>300</v>
      </c>
      <c r="Y41" s="48">
        <f>Assumptions!Y67</f>
        <v>300</v>
      </c>
      <c r="Z41" s="48">
        <f>Assumptions!Z67</f>
        <v>300</v>
      </c>
      <c r="AA41" s="48">
        <f>Assumptions!AA67</f>
        <v>300</v>
      </c>
      <c r="AB41" s="48">
        <f>Assumptions!AB67</f>
        <v>300</v>
      </c>
      <c r="AC41" s="48">
        <f>Assumptions!AC67</f>
        <v>300</v>
      </c>
      <c r="AD41" s="48">
        <f>Assumptions!AD67</f>
        <v>300</v>
      </c>
      <c r="AE41" s="48">
        <f>Assumptions!AE67</f>
        <v>300</v>
      </c>
      <c r="AF41" s="48">
        <f>Assumptions!AF67</f>
        <v>300</v>
      </c>
      <c r="AG41" s="48">
        <f>Assumptions!AG67</f>
        <v>300</v>
      </c>
      <c r="AH41" s="48">
        <f>Assumptions!AH67</f>
        <v>300</v>
      </c>
      <c r="AI41" s="48">
        <f>Assumptions!AI67</f>
        <v>300</v>
      </c>
      <c r="AJ41" s="48">
        <f>Assumptions!AJ67</f>
        <v>300</v>
      </c>
      <c r="AK41" s="48">
        <f>Assumptions!AK67</f>
        <v>300</v>
      </c>
      <c r="AL41" s="48">
        <f>Assumptions!AL67</f>
        <v>300</v>
      </c>
    </row>
    <row r="42" spans="1:38" x14ac:dyDescent="0.2">
      <c r="A42" s="53" t="s">
        <v>51</v>
      </c>
      <c r="B42" s="2"/>
      <c r="C42" s="48">
        <f>Assumptions!C68</f>
        <v>167</v>
      </c>
      <c r="D42" s="48">
        <f>Assumptions!D68</f>
        <v>167</v>
      </c>
      <c r="E42" s="48">
        <f>Assumptions!E68</f>
        <v>167</v>
      </c>
      <c r="F42" s="48">
        <f>Assumptions!F68</f>
        <v>167</v>
      </c>
      <c r="G42" s="48">
        <f>Assumptions!G68</f>
        <v>167</v>
      </c>
      <c r="H42" s="48">
        <f>Assumptions!H68</f>
        <v>167</v>
      </c>
      <c r="I42" s="48">
        <f>Assumptions!I68</f>
        <v>167</v>
      </c>
      <c r="J42" s="48">
        <f>Assumptions!J68</f>
        <v>167</v>
      </c>
      <c r="K42" s="48">
        <f>Assumptions!K68</f>
        <v>167</v>
      </c>
      <c r="L42" s="48">
        <f>Assumptions!L68</f>
        <v>167</v>
      </c>
      <c r="M42" s="48">
        <f>Assumptions!M68</f>
        <v>167</v>
      </c>
      <c r="N42" s="48">
        <f>Assumptions!N68</f>
        <v>167</v>
      </c>
      <c r="O42" s="48">
        <f>Assumptions!O68</f>
        <v>167</v>
      </c>
      <c r="P42" s="48">
        <f>Assumptions!P68</f>
        <v>167</v>
      </c>
      <c r="Q42" s="48">
        <f>Assumptions!Q68</f>
        <v>167</v>
      </c>
      <c r="R42" s="48">
        <f>Assumptions!R68</f>
        <v>167</v>
      </c>
      <c r="S42" s="48">
        <f>Assumptions!S68</f>
        <v>167</v>
      </c>
      <c r="T42" s="48">
        <f>Assumptions!T68</f>
        <v>167</v>
      </c>
      <c r="U42" s="48">
        <f>Assumptions!U68</f>
        <v>167</v>
      </c>
      <c r="V42" s="48">
        <f>Assumptions!V68</f>
        <v>167</v>
      </c>
      <c r="W42" s="48">
        <f>Assumptions!W68</f>
        <v>167</v>
      </c>
      <c r="X42" s="48">
        <f>Assumptions!X68</f>
        <v>167</v>
      </c>
      <c r="Y42" s="48">
        <f>Assumptions!Y68</f>
        <v>167</v>
      </c>
      <c r="Z42" s="48">
        <f>Assumptions!Z68</f>
        <v>167</v>
      </c>
      <c r="AA42" s="48">
        <f>Assumptions!AA68</f>
        <v>167</v>
      </c>
      <c r="AB42" s="48">
        <f>Assumptions!AB68</f>
        <v>167</v>
      </c>
      <c r="AC42" s="48">
        <f>Assumptions!AC68</f>
        <v>167</v>
      </c>
      <c r="AD42" s="48">
        <f>Assumptions!AD68</f>
        <v>167</v>
      </c>
      <c r="AE42" s="48">
        <f>Assumptions!AE68</f>
        <v>167</v>
      </c>
      <c r="AF42" s="48">
        <f>Assumptions!AF68</f>
        <v>167</v>
      </c>
      <c r="AG42" s="48">
        <f>Assumptions!AG68</f>
        <v>167</v>
      </c>
      <c r="AH42" s="48">
        <f>Assumptions!AH68</f>
        <v>167</v>
      </c>
      <c r="AI42" s="48">
        <f>Assumptions!AI68</f>
        <v>167</v>
      </c>
      <c r="AJ42" s="48">
        <f>Assumptions!AJ68</f>
        <v>167</v>
      </c>
      <c r="AK42" s="48">
        <f>Assumptions!AK68</f>
        <v>167</v>
      </c>
      <c r="AL42" s="48">
        <f>Assumptions!AL68</f>
        <v>167</v>
      </c>
    </row>
    <row r="43" spans="1:38" x14ac:dyDescent="0.2">
      <c r="A43" s="53" t="s">
        <v>52</v>
      </c>
      <c r="B43" s="2"/>
      <c r="C43" s="48">
        <f>Assumptions!C69</f>
        <v>0</v>
      </c>
      <c r="D43" s="48">
        <f>Assumptions!D69</f>
        <v>0</v>
      </c>
      <c r="E43" s="48">
        <f>Assumptions!E69</f>
        <v>0</v>
      </c>
      <c r="F43" s="48">
        <f>Assumptions!F69</f>
        <v>0</v>
      </c>
      <c r="G43" s="48">
        <f>Assumptions!G69</f>
        <v>0</v>
      </c>
      <c r="H43" s="48">
        <f>Assumptions!H69</f>
        <v>0</v>
      </c>
      <c r="I43" s="48">
        <f>Assumptions!I69</f>
        <v>0</v>
      </c>
      <c r="J43" s="48">
        <f>Assumptions!J69</f>
        <v>0</v>
      </c>
      <c r="K43" s="48">
        <f>Assumptions!K69</f>
        <v>0</v>
      </c>
      <c r="L43" s="48">
        <f>Assumptions!L69</f>
        <v>0</v>
      </c>
      <c r="M43" s="48">
        <f>Assumptions!M69</f>
        <v>0</v>
      </c>
      <c r="N43" s="48">
        <f>Assumptions!N69</f>
        <v>0</v>
      </c>
      <c r="O43" s="48">
        <f>Assumptions!O69</f>
        <v>0</v>
      </c>
      <c r="P43" s="48">
        <f>Assumptions!P69</f>
        <v>0</v>
      </c>
      <c r="Q43" s="48">
        <f>Assumptions!Q69</f>
        <v>0</v>
      </c>
      <c r="R43" s="48">
        <f>Assumptions!R69</f>
        <v>0</v>
      </c>
      <c r="S43" s="48">
        <f>Assumptions!S69</f>
        <v>0</v>
      </c>
      <c r="T43" s="48">
        <f>Assumptions!T69</f>
        <v>0</v>
      </c>
      <c r="U43" s="48">
        <f>Assumptions!U69</f>
        <v>0</v>
      </c>
      <c r="V43" s="48">
        <f>Assumptions!V69</f>
        <v>0</v>
      </c>
      <c r="W43" s="48">
        <f>Assumptions!W69</f>
        <v>0</v>
      </c>
      <c r="X43" s="48">
        <f>Assumptions!X69</f>
        <v>0</v>
      </c>
      <c r="Y43" s="48">
        <f>Assumptions!Y69</f>
        <v>0</v>
      </c>
      <c r="Z43" s="48">
        <f>Assumptions!Z69</f>
        <v>0</v>
      </c>
      <c r="AA43" s="48">
        <f>Assumptions!AA69</f>
        <v>0</v>
      </c>
      <c r="AB43" s="48">
        <f>Assumptions!AB69</f>
        <v>0</v>
      </c>
      <c r="AC43" s="48">
        <f>Assumptions!AC69</f>
        <v>0</v>
      </c>
      <c r="AD43" s="48">
        <f>Assumptions!AD69</f>
        <v>0</v>
      </c>
      <c r="AE43" s="48">
        <f>Assumptions!AE69</f>
        <v>0</v>
      </c>
      <c r="AF43" s="48">
        <f>Assumptions!AF69</f>
        <v>0</v>
      </c>
      <c r="AG43" s="48">
        <f>Assumptions!AG69</f>
        <v>0</v>
      </c>
      <c r="AH43" s="48">
        <f>Assumptions!AH69</f>
        <v>0</v>
      </c>
      <c r="AI43" s="48">
        <f>Assumptions!AI69</f>
        <v>0</v>
      </c>
      <c r="AJ43" s="48">
        <f>Assumptions!AJ69</f>
        <v>0</v>
      </c>
      <c r="AK43" s="48">
        <f>Assumptions!AK69</f>
        <v>0</v>
      </c>
      <c r="AL43" s="48">
        <f>Assumptions!AL69</f>
        <v>0</v>
      </c>
    </row>
    <row r="44" spans="1:38" x14ac:dyDescent="0.2">
      <c r="A44" s="53" t="s">
        <v>53</v>
      </c>
      <c r="B44" s="2"/>
      <c r="C44" s="48">
        <f>Assumptions!C70</f>
        <v>300</v>
      </c>
      <c r="D44" s="48">
        <f>Assumptions!D70</f>
        <v>300</v>
      </c>
      <c r="E44" s="48">
        <f>Assumptions!E70</f>
        <v>300</v>
      </c>
      <c r="F44" s="48">
        <f>Assumptions!F70</f>
        <v>300</v>
      </c>
      <c r="G44" s="48">
        <f>Assumptions!G70</f>
        <v>300</v>
      </c>
      <c r="H44" s="48">
        <f>Assumptions!H70</f>
        <v>300</v>
      </c>
      <c r="I44" s="48">
        <f>Assumptions!I70</f>
        <v>300</v>
      </c>
      <c r="J44" s="48">
        <f>Assumptions!J70</f>
        <v>300</v>
      </c>
      <c r="K44" s="48">
        <f>Assumptions!K70</f>
        <v>300</v>
      </c>
      <c r="L44" s="48">
        <f>Assumptions!L70</f>
        <v>300</v>
      </c>
      <c r="M44" s="48">
        <f>Assumptions!M70</f>
        <v>300</v>
      </c>
      <c r="N44" s="48">
        <f>Assumptions!N70</f>
        <v>300</v>
      </c>
      <c r="O44" s="48">
        <f>Assumptions!O70</f>
        <v>300</v>
      </c>
      <c r="P44" s="48">
        <f>Assumptions!P70</f>
        <v>300</v>
      </c>
      <c r="Q44" s="48">
        <f>Assumptions!Q70</f>
        <v>300</v>
      </c>
      <c r="R44" s="48">
        <f>Assumptions!R70</f>
        <v>300</v>
      </c>
      <c r="S44" s="48">
        <f>Assumptions!S70</f>
        <v>300</v>
      </c>
      <c r="T44" s="48">
        <f>Assumptions!T70</f>
        <v>300</v>
      </c>
      <c r="U44" s="48">
        <f>Assumptions!U70</f>
        <v>300</v>
      </c>
      <c r="V44" s="48">
        <f>Assumptions!V70</f>
        <v>300</v>
      </c>
      <c r="W44" s="48">
        <f>Assumptions!W70</f>
        <v>300</v>
      </c>
      <c r="X44" s="48">
        <f>Assumptions!X70</f>
        <v>300</v>
      </c>
      <c r="Y44" s="48">
        <f>Assumptions!Y70</f>
        <v>300</v>
      </c>
      <c r="Z44" s="48">
        <f>Assumptions!Z70</f>
        <v>300</v>
      </c>
      <c r="AA44" s="48">
        <f>Assumptions!AA70</f>
        <v>300</v>
      </c>
      <c r="AB44" s="48">
        <f>Assumptions!AB70</f>
        <v>300</v>
      </c>
      <c r="AC44" s="48">
        <f>Assumptions!AC70</f>
        <v>300</v>
      </c>
      <c r="AD44" s="48">
        <f>Assumptions!AD70</f>
        <v>300</v>
      </c>
      <c r="AE44" s="48">
        <f>Assumptions!AE70</f>
        <v>300</v>
      </c>
      <c r="AF44" s="48">
        <f>Assumptions!AF70</f>
        <v>300</v>
      </c>
      <c r="AG44" s="48">
        <f>Assumptions!AG70</f>
        <v>300</v>
      </c>
      <c r="AH44" s="48">
        <f>Assumptions!AH70</f>
        <v>300</v>
      </c>
      <c r="AI44" s="48">
        <f>Assumptions!AI70</f>
        <v>300</v>
      </c>
      <c r="AJ44" s="48">
        <f>Assumptions!AJ70</f>
        <v>300</v>
      </c>
      <c r="AK44" s="48">
        <f>Assumptions!AK70</f>
        <v>300</v>
      </c>
      <c r="AL44" s="48">
        <f>Assumptions!AL70</f>
        <v>300</v>
      </c>
    </row>
    <row r="45" spans="1:38" x14ac:dyDescent="0.2">
      <c r="A45" s="53" t="s">
        <v>54</v>
      </c>
      <c r="B45" s="2"/>
      <c r="C45" s="48">
        <f>Assumptions!C71</f>
        <v>83</v>
      </c>
      <c r="D45" s="48">
        <f>Assumptions!D71</f>
        <v>83</v>
      </c>
      <c r="E45" s="48">
        <f>Assumptions!E71</f>
        <v>83</v>
      </c>
      <c r="F45" s="48">
        <f>Assumptions!F71</f>
        <v>83</v>
      </c>
      <c r="G45" s="48">
        <f>Assumptions!G71</f>
        <v>83</v>
      </c>
      <c r="H45" s="48">
        <f>Assumptions!H71</f>
        <v>83</v>
      </c>
      <c r="I45" s="48">
        <f>Assumptions!I71</f>
        <v>83</v>
      </c>
      <c r="J45" s="48">
        <f>Assumptions!J71</f>
        <v>83</v>
      </c>
      <c r="K45" s="48">
        <f>Assumptions!K71</f>
        <v>83</v>
      </c>
      <c r="L45" s="48">
        <f>Assumptions!L71</f>
        <v>83</v>
      </c>
      <c r="M45" s="48">
        <f>Assumptions!M71</f>
        <v>83</v>
      </c>
      <c r="N45" s="48">
        <f>Assumptions!N71</f>
        <v>83</v>
      </c>
      <c r="O45" s="48">
        <f>Assumptions!O71</f>
        <v>83</v>
      </c>
      <c r="P45" s="48">
        <f>Assumptions!P71</f>
        <v>83</v>
      </c>
      <c r="Q45" s="48">
        <f>Assumptions!Q71</f>
        <v>83</v>
      </c>
      <c r="R45" s="48">
        <f>Assumptions!R71</f>
        <v>83</v>
      </c>
      <c r="S45" s="48">
        <f>Assumptions!S71</f>
        <v>83</v>
      </c>
      <c r="T45" s="48">
        <f>Assumptions!T71</f>
        <v>83</v>
      </c>
      <c r="U45" s="48">
        <f>Assumptions!U71</f>
        <v>83</v>
      </c>
      <c r="V45" s="48">
        <f>Assumptions!V71</f>
        <v>83</v>
      </c>
      <c r="W45" s="48">
        <f>Assumptions!W71</f>
        <v>83</v>
      </c>
      <c r="X45" s="48">
        <f>Assumptions!X71</f>
        <v>83</v>
      </c>
      <c r="Y45" s="48">
        <f>Assumptions!Y71</f>
        <v>83</v>
      </c>
      <c r="Z45" s="48">
        <f>Assumptions!Z71</f>
        <v>83</v>
      </c>
      <c r="AA45" s="48">
        <f>Assumptions!AA71</f>
        <v>83</v>
      </c>
      <c r="AB45" s="48">
        <f>Assumptions!AB71</f>
        <v>83</v>
      </c>
      <c r="AC45" s="48">
        <f>Assumptions!AC71</f>
        <v>83</v>
      </c>
      <c r="AD45" s="48">
        <f>Assumptions!AD71</f>
        <v>83</v>
      </c>
      <c r="AE45" s="48">
        <f>Assumptions!AE71</f>
        <v>83</v>
      </c>
      <c r="AF45" s="48">
        <f>Assumptions!AF71</f>
        <v>83</v>
      </c>
      <c r="AG45" s="48">
        <f>Assumptions!AG71</f>
        <v>83</v>
      </c>
      <c r="AH45" s="48">
        <f>Assumptions!AH71</f>
        <v>83</v>
      </c>
      <c r="AI45" s="48">
        <f>Assumptions!AI71</f>
        <v>83</v>
      </c>
      <c r="AJ45" s="48">
        <f>Assumptions!AJ71</f>
        <v>83</v>
      </c>
      <c r="AK45" s="48">
        <f>Assumptions!AK71</f>
        <v>83</v>
      </c>
      <c r="AL45" s="48">
        <f>Assumptions!AL71</f>
        <v>83</v>
      </c>
    </row>
    <row r="46" spans="1:38" x14ac:dyDescent="0.2">
      <c r="A46" s="53" t="s">
        <v>55</v>
      </c>
      <c r="B46" s="2"/>
      <c r="C46" s="48">
        <f>Assumptions!C72</f>
        <v>100</v>
      </c>
      <c r="D46" s="48">
        <f>Assumptions!D72</f>
        <v>100</v>
      </c>
      <c r="E46" s="48">
        <f>Assumptions!E72</f>
        <v>100</v>
      </c>
      <c r="F46" s="48">
        <f>Assumptions!F72</f>
        <v>100</v>
      </c>
      <c r="G46" s="48">
        <f>Assumptions!G72</f>
        <v>100</v>
      </c>
      <c r="H46" s="48">
        <f>Assumptions!H72</f>
        <v>100</v>
      </c>
      <c r="I46" s="48">
        <f>Assumptions!I72</f>
        <v>100</v>
      </c>
      <c r="J46" s="48">
        <f>Assumptions!J72</f>
        <v>100</v>
      </c>
      <c r="K46" s="48">
        <f>Assumptions!K72</f>
        <v>100</v>
      </c>
      <c r="L46" s="48">
        <f>Assumptions!L72</f>
        <v>100</v>
      </c>
      <c r="M46" s="48">
        <f>Assumptions!M72</f>
        <v>100</v>
      </c>
      <c r="N46" s="48">
        <f>Assumptions!N72</f>
        <v>100</v>
      </c>
      <c r="O46" s="48">
        <f>Assumptions!O72</f>
        <v>100</v>
      </c>
      <c r="P46" s="48">
        <f>Assumptions!P72</f>
        <v>100</v>
      </c>
      <c r="Q46" s="48">
        <f>Assumptions!Q72</f>
        <v>100</v>
      </c>
      <c r="R46" s="48">
        <f>Assumptions!R72</f>
        <v>100</v>
      </c>
      <c r="S46" s="48">
        <f>Assumptions!S72</f>
        <v>100</v>
      </c>
      <c r="T46" s="48">
        <f>Assumptions!T72</f>
        <v>100</v>
      </c>
      <c r="U46" s="48">
        <f>Assumptions!U72</f>
        <v>100</v>
      </c>
      <c r="V46" s="48">
        <f>Assumptions!V72</f>
        <v>100</v>
      </c>
      <c r="W46" s="48">
        <f>Assumptions!W72</f>
        <v>100</v>
      </c>
      <c r="X46" s="48">
        <f>Assumptions!X72</f>
        <v>100</v>
      </c>
      <c r="Y46" s="48">
        <f>Assumptions!Y72</f>
        <v>100</v>
      </c>
      <c r="Z46" s="48">
        <f>Assumptions!Z72</f>
        <v>100</v>
      </c>
      <c r="AA46" s="48">
        <f>Assumptions!AA72</f>
        <v>100</v>
      </c>
      <c r="AB46" s="48">
        <f>Assumptions!AB72</f>
        <v>100</v>
      </c>
      <c r="AC46" s="48">
        <f>Assumptions!AC72</f>
        <v>100</v>
      </c>
      <c r="AD46" s="48">
        <f>Assumptions!AD72</f>
        <v>100</v>
      </c>
      <c r="AE46" s="48">
        <f>Assumptions!AE72</f>
        <v>100</v>
      </c>
      <c r="AF46" s="48">
        <f>Assumptions!AF72</f>
        <v>100</v>
      </c>
      <c r="AG46" s="48">
        <f>Assumptions!AG72</f>
        <v>100</v>
      </c>
      <c r="AH46" s="48">
        <f>Assumptions!AH72</f>
        <v>100</v>
      </c>
      <c r="AI46" s="48">
        <f>Assumptions!AI72</f>
        <v>100</v>
      </c>
      <c r="AJ46" s="48">
        <f>Assumptions!AJ72</f>
        <v>100</v>
      </c>
      <c r="AK46" s="48">
        <f>Assumptions!AK72</f>
        <v>100</v>
      </c>
      <c r="AL46" s="48">
        <f>Assumptions!AL72</f>
        <v>100</v>
      </c>
    </row>
    <row r="47" spans="1:38" x14ac:dyDescent="0.2">
      <c r="A47" s="53" t="s">
        <v>254</v>
      </c>
      <c r="B47" s="2"/>
      <c r="C47" s="50">
        <f>Assumptions!C73</f>
        <v>400</v>
      </c>
      <c r="D47" s="50">
        <f>Assumptions!D73</f>
        <v>400</v>
      </c>
      <c r="E47" s="50">
        <f>Assumptions!E73</f>
        <v>400</v>
      </c>
      <c r="F47" s="50">
        <f>Assumptions!F73</f>
        <v>400</v>
      </c>
      <c r="G47" s="50">
        <f>Assumptions!G73</f>
        <v>400</v>
      </c>
      <c r="H47" s="50">
        <f>Assumptions!H73</f>
        <v>400</v>
      </c>
      <c r="I47" s="50">
        <f>Assumptions!I73</f>
        <v>400</v>
      </c>
      <c r="J47" s="50">
        <f>Assumptions!J73</f>
        <v>400</v>
      </c>
      <c r="K47" s="50">
        <f>Assumptions!K73</f>
        <v>400</v>
      </c>
      <c r="L47" s="50">
        <f>Assumptions!L73</f>
        <v>400</v>
      </c>
      <c r="M47" s="50">
        <f>Assumptions!M73</f>
        <v>400</v>
      </c>
      <c r="N47" s="50">
        <f>Assumptions!N73</f>
        <v>400</v>
      </c>
      <c r="O47" s="50">
        <f>Assumptions!O73</f>
        <v>400</v>
      </c>
      <c r="P47" s="50">
        <f>Assumptions!P73</f>
        <v>400</v>
      </c>
      <c r="Q47" s="50">
        <f>Assumptions!Q73</f>
        <v>400</v>
      </c>
      <c r="R47" s="50">
        <f>Assumptions!R73</f>
        <v>400</v>
      </c>
      <c r="S47" s="50">
        <f>Assumptions!S73</f>
        <v>400</v>
      </c>
      <c r="T47" s="50">
        <f>Assumptions!T73</f>
        <v>400</v>
      </c>
      <c r="U47" s="50">
        <f>Assumptions!U73</f>
        <v>400</v>
      </c>
      <c r="V47" s="50">
        <f>Assumptions!V73</f>
        <v>400</v>
      </c>
      <c r="W47" s="50">
        <f>Assumptions!W73</f>
        <v>400</v>
      </c>
      <c r="X47" s="50">
        <f>Assumptions!X73</f>
        <v>400</v>
      </c>
      <c r="Y47" s="50">
        <f>Assumptions!Y73</f>
        <v>400</v>
      </c>
      <c r="Z47" s="50">
        <f>Assumptions!Z73</f>
        <v>400</v>
      </c>
      <c r="AA47" s="50">
        <f>Assumptions!AA73</f>
        <v>400</v>
      </c>
      <c r="AB47" s="50">
        <f>Assumptions!AB73</f>
        <v>400</v>
      </c>
      <c r="AC47" s="50">
        <f>Assumptions!AC73</f>
        <v>400</v>
      </c>
      <c r="AD47" s="50">
        <f>Assumptions!AD73</f>
        <v>400</v>
      </c>
      <c r="AE47" s="50">
        <f>Assumptions!AE73</f>
        <v>400</v>
      </c>
      <c r="AF47" s="50">
        <f>Assumptions!AF73</f>
        <v>400</v>
      </c>
      <c r="AG47" s="50">
        <f>Assumptions!AG73</f>
        <v>400</v>
      </c>
      <c r="AH47" s="50">
        <f>Assumptions!AH73</f>
        <v>400</v>
      </c>
      <c r="AI47" s="50">
        <f>Assumptions!AI73</f>
        <v>400</v>
      </c>
      <c r="AJ47" s="50">
        <f>Assumptions!AJ73</f>
        <v>400</v>
      </c>
      <c r="AK47" s="50">
        <f>Assumptions!AK73</f>
        <v>400</v>
      </c>
      <c r="AL47" s="50">
        <f>Assumptions!AL73</f>
        <v>400</v>
      </c>
    </row>
    <row r="48" spans="1:38" x14ac:dyDescent="0.2">
      <c r="A48" s="53" t="s">
        <v>255</v>
      </c>
      <c r="B48" s="2"/>
      <c r="C48" s="50">
        <f>Assumptions!C74</f>
        <v>2600</v>
      </c>
      <c r="D48" s="50">
        <f>Assumptions!D74</f>
        <v>0</v>
      </c>
      <c r="E48" s="50">
        <f>Assumptions!E74</f>
        <v>0</v>
      </c>
      <c r="F48" s="50">
        <f>Assumptions!F74</f>
        <v>0</v>
      </c>
      <c r="G48" s="50">
        <f>Assumptions!G74</f>
        <v>0</v>
      </c>
      <c r="H48" s="50">
        <f>Assumptions!H74</f>
        <v>0</v>
      </c>
      <c r="I48" s="50">
        <f>Assumptions!I74</f>
        <v>2000</v>
      </c>
      <c r="J48" s="50">
        <f>Assumptions!J74</f>
        <v>0</v>
      </c>
      <c r="K48" s="50">
        <f>Assumptions!K74</f>
        <v>0</v>
      </c>
      <c r="L48" s="50">
        <f>Assumptions!L74</f>
        <v>0</v>
      </c>
      <c r="M48" s="50">
        <f>Assumptions!M74</f>
        <v>0</v>
      </c>
      <c r="N48" s="50">
        <f>Assumptions!N74</f>
        <v>0</v>
      </c>
      <c r="O48" s="50">
        <f>Assumptions!O74</f>
        <v>0</v>
      </c>
      <c r="P48" s="50">
        <f>Assumptions!P74</f>
        <v>0</v>
      </c>
      <c r="Q48" s="50">
        <f>Assumptions!Q74</f>
        <v>0</v>
      </c>
      <c r="R48" s="50">
        <f>Assumptions!R74</f>
        <v>0</v>
      </c>
      <c r="S48" s="50">
        <f>Assumptions!S74</f>
        <v>0</v>
      </c>
      <c r="T48" s="50">
        <f>Assumptions!T74</f>
        <v>0</v>
      </c>
      <c r="U48" s="50">
        <f>Assumptions!U74</f>
        <v>0</v>
      </c>
      <c r="V48" s="50">
        <f>Assumptions!V74</f>
        <v>0</v>
      </c>
      <c r="W48" s="50">
        <f>Assumptions!W74</f>
        <v>0</v>
      </c>
      <c r="X48" s="50">
        <f>Assumptions!X74</f>
        <v>0</v>
      </c>
      <c r="Y48" s="50">
        <f>Assumptions!Y74</f>
        <v>0</v>
      </c>
      <c r="Z48" s="50">
        <f>Assumptions!Z74</f>
        <v>0</v>
      </c>
      <c r="AA48" s="50">
        <f>Assumptions!AA74</f>
        <v>0</v>
      </c>
      <c r="AB48" s="50">
        <f>Assumptions!AB74</f>
        <v>0</v>
      </c>
      <c r="AC48" s="50">
        <f>Assumptions!AC74</f>
        <v>0</v>
      </c>
      <c r="AD48" s="50">
        <f>Assumptions!AD74</f>
        <v>0</v>
      </c>
      <c r="AE48" s="50">
        <f>Assumptions!AE74</f>
        <v>0</v>
      </c>
      <c r="AF48" s="50">
        <f>Assumptions!AF74</f>
        <v>0</v>
      </c>
      <c r="AG48" s="50">
        <f>Assumptions!AG74</f>
        <v>0</v>
      </c>
      <c r="AH48" s="50">
        <f>Assumptions!AH74</f>
        <v>0</v>
      </c>
      <c r="AI48" s="50">
        <f>Assumptions!AI74</f>
        <v>0</v>
      </c>
      <c r="AJ48" s="50">
        <f>Assumptions!AJ74</f>
        <v>0</v>
      </c>
      <c r="AK48" s="50">
        <f>Assumptions!AK74</f>
        <v>0</v>
      </c>
      <c r="AL48" s="50">
        <f>Assumptions!AL74</f>
        <v>0</v>
      </c>
    </row>
    <row r="49" spans="1:38" x14ac:dyDescent="0.2">
      <c r="A49" s="53" t="s">
        <v>256</v>
      </c>
      <c r="B49" s="2"/>
      <c r="C49" s="50">
        <f>Assumptions!C75</f>
        <v>0</v>
      </c>
      <c r="D49" s="50">
        <f>Assumptions!D75</f>
        <v>0</v>
      </c>
      <c r="E49" s="50">
        <f>Assumptions!E75</f>
        <v>0</v>
      </c>
      <c r="F49" s="50">
        <f>Assumptions!F75</f>
        <v>0</v>
      </c>
      <c r="G49" s="50">
        <f>Assumptions!G75</f>
        <v>0</v>
      </c>
      <c r="H49" s="50">
        <f>Assumptions!H75</f>
        <v>0</v>
      </c>
      <c r="I49" s="50">
        <f>Assumptions!I75</f>
        <v>0</v>
      </c>
      <c r="J49" s="50">
        <f>Assumptions!J75</f>
        <v>0</v>
      </c>
      <c r="K49" s="50">
        <f>Assumptions!K75</f>
        <v>0</v>
      </c>
      <c r="L49" s="50">
        <f>Assumptions!L75</f>
        <v>0</v>
      </c>
      <c r="M49" s="50">
        <f>Assumptions!M75</f>
        <v>0</v>
      </c>
      <c r="N49" s="50">
        <f>Assumptions!N75</f>
        <v>0</v>
      </c>
      <c r="O49" s="50">
        <f>Assumptions!O75</f>
        <v>0</v>
      </c>
      <c r="P49" s="50">
        <f>Assumptions!P75</f>
        <v>0</v>
      </c>
      <c r="Q49" s="50">
        <f>Assumptions!Q75</f>
        <v>0</v>
      </c>
      <c r="R49" s="50">
        <f>Assumptions!R75</f>
        <v>0</v>
      </c>
      <c r="S49" s="50">
        <f>Assumptions!S75</f>
        <v>0</v>
      </c>
      <c r="T49" s="50">
        <f>Assumptions!T75</f>
        <v>0</v>
      </c>
      <c r="U49" s="50">
        <f>Assumptions!U75</f>
        <v>0</v>
      </c>
      <c r="V49" s="50">
        <f>Assumptions!V75</f>
        <v>0</v>
      </c>
      <c r="W49" s="50">
        <f>Assumptions!W75</f>
        <v>0</v>
      </c>
      <c r="X49" s="50">
        <f>Assumptions!X75</f>
        <v>0</v>
      </c>
      <c r="Y49" s="50">
        <f>Assumptions!Y75</f>
        <v>0</v>
      </c>
      <c r="Z49" s="50">
        <f>Assumptions!Z75</f>
        <v>0</v>
      </c>
      <c r="AA49" s="50">
        <f>Assumptions!AA75</f>
        <v>0</v>
      </c>
      <c r="AB49" s="50">
        <f>Assumptions!AB75</f>
        <v>0</v>
      </c>
      <c r="AC49" s="50">
        <f>Assumptions!AC75</f>
        <v>0</v>
      </c>
      <c r="AD49" s="50">
        <f>Assumptions!AD75</f>
        <v>0</v>
      </c>
      <c r="AE49" s="50">
        <f>Assumptions!AE75</f>
        <v>0</v>
      </c>
      <c r="AF49" s="50">
        <f>Assumptions!AF75</f>
        <v>0</v>
      </c>
      <c r="AG49" s="50">
        <f>Assumptions!AG75</f>
        <v>0</v>
      </c>
      <c r="AH49" s="50">
        <f>Assumptions!AH75</f>
        <v>0</v>
      </c>
      <c r="AI49" s="50">
        <f>Assumptions!AI75</f>
        <v>0</v>
      </c>
      <c r="AJ49" s="50">
        <f>Assumptions!AJ75</f>
        <v>0</v>
      </c>
      <c r="AK49" s="50">
        <f>Assumptions!AK75</f>
        <v>0</v>
      </c>
      <c r="AL49" s="50">
        <f>Assumptions!AL75</f>
        <v>0</v>
      </c>
    </row>
    <row r="50" spans="1:38" x14ac:dyDescent="0.2">
      <c r="A50" s="101" t="s">
        <v>138</v>
      </c>
      <c r="B50" s="102"/>
      <c r="C50" s="103">
        <f>SUM(C36:C49)</f>
        <v>4960</v>
      </c>
      <c r="D50" s="103">
        <f t="shared" ref="D50:AL50" si="7">SUM(D36:D49)</f>
        <v>2360</v>
      </c>
      <c r="E50" s="103">
        <f t="shared" si="7"/>
        <v>2360</v>
      </c>
      <c r="F50" s="103">
        <f t="shared" si="7"/>
        <v>2360</v>
      </c>
      <c r="G50" s="103">
        <f t="shared" si="7"/>
        <v>2360</v>
      </c>
      <c r="H50" s="103">
        <f t="shared" si="7"/>
        <v>2360</v>
      </c>
      <c r="I50" s="103">
        <f t="shared" si="7"/>
        <v>4660</v>
      </c>
      <c r="J50" s="103">
        <f t="shared" si="7"/>
        <v>2660</v>
      </c>
      <c r="K50" s="103">
        <f t="shared" si="7"/>
        <v>2660</v>
      </c>
      <c r="L50" s="103">
        <f t="shared" si="7"/>
        <v>2660</v>
      </c>
      <c r="M50" s="103">
        <f t="shared" si="7"/>
        <v>2660</v>
      </c>
      <c r="N50" s="103">
        <f t="shared" si="7"/>
        <v>2660</v>
      </c>
      <c r="O50" s="103">
        <f t="shared" si="7"/>
        <v>2660</v>
      </c>
      <c r="P50" s="103">
        <f t="shared" si="7"/>
        <v>2660</v>
      </c>
      <c r="Q50" s="103">
        <f t="shared" si="7"/>
        <v>2660</v>
      </c>
      <c r="R50" s="103">
        <f t="shared" si="7"/>
        <v>2660</v>
      </c>
      <c r="S50" s="103">
        <f t="shared" si="7"/>
        <v>2660</v>
      </c>
      <c r="T50" s="103">
        <f t="shared" si="7"/>
        <v>2660</v>
      </c>
      <c r="U50" s="103">
        <f t="shared" si="7"/>
        <v>2660</v>
      </c>
      <c r="V50" s="103">
        <f t="shared" si="7"/>
        <v>2660</v>
      </c>
      <c r="W50" s="103">
        <f t="shared" si="7"/>
        <v>2660</v>
      </c>
      <c r="X50" s="103">
        <f t="shared" si="7"/>
        <v>2660</v>
      </c>
      <c r="Y50" s="103">
        <f t="shared" si="7"/>
        <v>2660</v>
      </c>
      <c r="Z50" s="103">
        <f t="shared" si="7"/>
        <v>2660</v>
      </c>
      <c r="AA50" s="103">
        <f t="shared" si="7"/>
        <v>2660</v>
      </c>
      <c r="AB50" s="103">
        <f t="shared" si="7"/>
        <v>2660</v>
      </c>
      <c r="AC50" s="103">
        <f t="shared" si="7"/>
        <v>2660</v>
      </c>
      <c r="AD50" s="103">
        <f t="shared" si="7"/>
        <v>2660</v>
      </c>
      <c r="AE50" s="103">
        <f t="shared" si="7"/>
        <v>2660</v>
      </c>
      <c r="AF50" s="103">
        <f t="shared" si="7"/>
        <v>2660</v>
      </c>
      <c r="AG50" s="103">
        <f t="shared" si="7"/>
        <v>2660</v>
      </c>
      <c r="AH50" s="103">
        <f t="shared" si="7"/>
        <v>2660</v>
      </c>
      <c r="AI50" s="103">
        <f t="shared" si="7"/>
        <v>2660</v>
      </c>
      <c r="AJ50" s="103">
        <f t="shared" si="7"/>
        <v>2660</v>
      </c>
      <c r="AK50" s="103">
        <f t="shared" si="7"/>
        <v>2660</v>
      </c>
      <c r="AL50" s="103">
        <f t="shared" si="7"/>
        <v>2660</v>
      </c>
    </row>
    <row r="51" spans="1:38" x14ac:dyDescent="0.2">
      <c r="A51" s="101" t="s">
        <v>139</v>
      </c>
      <c r="B51" s="102"/>
      <c r="C51" s="103">
        <f>C34+C50</f>
        <v>11340</v>
      </c>
      <c r="D51" s="103">
        <f t="shared" ref="D51:AL51" si="8">D34+D50</f>
        <v>8740</v>
      </c>
      <c r="E51" s="103">
        <f t="shared" si="8"/>
        <v>8740</v>
      </c>
      <c r="F51" s="103">
        <f t="shared" si="8"/>
        <v>8740</v>
      </c>
      <c r="G51" s="103">
        <f t="shared" si="8"/>
        <v>8740</v>
      </c>
      <c r="H51" s="103">
        <f t="shared" si="8"/>
        <v>8740</v>
      </c>
      <c r="I51" s="103">
        <f t="shared" si="8"/>
        <v>11040</v>
      </c>
      <c r="J51" s="103">
        <f t="shared" si="8"/>
        <v>15768</v>
      </c>
      <c r="K51" s="103">
        <f t="shared" si="8"/>
        <v>15768</v>
      </c>
      <c r="L51" s="103">
        <f t="shared" si="8"/>
        <v>15768</v>
      </c>
      <c r="M51" s="103">
        <f t="shared" si="8"/>
        <v>15768</v>
      </c>
      <c r="N51" s="103">
        <f t="shared" si="8"/>
        <v>15768</v>
      </c>
      <c r="O51" s="103">
        <f t="shared" si="8"/>
        <v>18088</v>
      </c>
      <c r="P51" s="103">
        <f t="shared" si="8"/>
        <v>18088</v>
      </c>
      <c r="Q51" s="103">
        <f t="shared" si="8"/>
        <v>18088</v>
      </c>
      <c r="R51" s="103">
        <f t="shared" si="8"/>
        <v>18088</v>
      </c>
      <c r="S51" s="103">
        <f t="shared" si="8"/>
        <v>18088</v>
      </c>
      <c r="T51" s="103">
        <f t="shared" si="8"/>
        <v>18088</v>
      </c>
      <c r="U51" s="103">
        <f t="shared" si="8"/>
        <v>18088</v>
      </c>
      <c r="V51" s="103">
        <f t="shared" si="8"/>
        <v>18088</v>
      </c>
      <c r="W51" s="103">
        <f t="shared" si="8"/>
        <v>18088</v>
      </c>
      <c r="X51" s="103">
        <f t="shared" si="8"/>
        <v>18088</v>
      </c>
      <c r="Y51" s="103">
        <f t="shared" si="8"/>
        <v>18088</v>
      </c>
      <c r="Z51" s="103">
        <f t="shared" si="8"/>
        <v>18088</v>
      </c>
      <c r="AA51" s="103">
        <f t="shared" si="8"/>
        <v>18088</v>
      </c>
      <c r="AB51" s="103">
        <f t="shared" si="8"/>
        <v>18088</v>
      </c>
      <c r="AC51" s="103">
        <f t="shared" si="8"/>
        <v>18088</v>
      </c>
      <c r="AD51" s="103">
        <f t="shared" si="8"/>
        <v>18088</v>
      </c>
      <c r="AE51" s="103">
        <f t="shared" si="8"/>
        <v>18088</v>
      </c>
      <c r="AF51" s="103">
        <f t="shared" si="8"/>
        <v>18088</v>
      </c>
      <c r="AG51" s="103">
        <f t="shared" si="8"/>
        <v>18088</v>
      </c>
      <c r="AH51" s="103">
        <f t="shared" si="8"/>
        <v>18088</v>
      </c>
      <c r="AI51" s="103">
        <f t="shared" si="8"/>
        <v>18088</v>
      </c>
      <c r="AJ51" s="103">
        <f t="shared" si="8"/>
        <v>18088</v>
      </c>
      <c r="AK51" s="103">
        <f t="shared" si="8"/>
        <v>18088</v>
      </c>
      <c r="AL51" s="103">
        <f t="shared" si="8"/>
        <v>18088</v>
      </c>
    </row>
    <row r="52" spans="1:38" x14ac:dyDescent="0.2">
      <c r="A52" s="59" t="s">
        <v>368</v>
      </c>
      <c r="B52" s="60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</row>
    <row r="53" spans="1:38" x14ac:dyDescent="0.2">
      <c r="A53" s="53" t="s">
        <v>140</v>
      </c>
      <c r="B53" s="2"/>
      <c r="C53" s="48">
        <f>Assumptions!C78</f>
        <v>7000</v>
      </c>
      <c r="D53" s="48">
        <f>Assumptions!D78</f>
        <v>0</v>
      </c>
      <c r="E53" s="48">
        <f>Assumptions!E78</f>
        <v>0</v>
      </c>
      <c r="F53" s="48">
        <f>Assumptions!F78</f>
        <v>0</v>
      </c>
      <c r="G53" s="48">
        <f>Assumptions!G78</f>
        <v>0</v>
      </c>
      <c r="H53" s="48">
        <f>Assumptions!H78</f>
        <v>0</v>
      </c>
      <c r="I53" s="48">
        <f>Assumptions!I78</f>
        <v>0</v>
      </c>
      <c r="J53" s="48">
        <f>Assumptions!J78</f>
        <v>0</v>
      </c>
      <c r="K53" s="48">
        <f>Assumptions!K78</f>
        <v>0</v>
      </c>
      <c r="L53" s="48">
        <f>Assumptions!L78</f>
        <v>0</v>
      </c>
      <c r="M53" s="48">
        <f>Assumptions!M78</f>
        <v>0</v>
      </c>
      <c r="N53" s="48">
        <f>Assumptions!N78</f>
        <v>0</v>
      </c>
      <c r="O53" s="48">
        <f>Assumptions!O78</f>
        <v>0</v>
      </c>
      <c r="P53" s="48">
        <f>Assumptions!P78</f>
        <v>0</v>
      </c>
      <c r="Q53" s="48">
        <f>Assumptions!Q78</f>
        <v>0</v>
      </c>
      <c r="R53" s="48">
        <f>Assumptions!R78</f>
        <v>0</v>
      </c>
      <c r="S53" s="48">
        <f>Assumptions!S78</f>
        <v>0</v>
      </c>
      <c r="T53" s="48">
        <f>Assumptions!T78</f>
        <v>0</v>
      </c>
      <c r="U53" s="48">
        <f>Assumptions!U78</f>
        <v>0</v>
      </c>
      <c r="V53" s="48">
        <f>Assumptions!V78</f>
        <v>0</v>
      </c>
      <c r="W53" s="48">
        <f>Assumptions!W78</f>
        <v>0</v>
      </c>
      <c r="X53" s="48">
        <f>Assumptions!X78</f>
        <v>0</v>
      </c>
      <c r="Y53" s="48">
        <f>Assumptions!Y78</f>
        <v>0</v>
      </c>
      <c r="Z53" s="48">
        <f>Assumptions!Z78</f>
        <v>0</v>
      </c>
      <c r="AA53" s="48">
        <f>Assumptions!AA78</f>
        <v>0</v>
      </c>
      <c r="AB53" s="48">
        <f>Assumptions!AB78</f>
        <v>0</v>
      </c>
      <c r="AC53" s="48">
        <f>Assumptions!AC78</f>
        <v>0</v>
      </c>
      <c r="AD53" s="48">
        <f>Assumptions!AD78</f>
        <v>0</v>
      </c>
      <c r="AE53" s="48">
        <f>Assumptions!AE78</f>
        <v>0</v>
      </c>
      <c r="AF53" s="48">
        <f>Assumptions!AF78</f>
        <v>0</v>
      </c>
      <c r="AG53" s="48">
        <f>Assumptions!AG78</f>
        <v>0</v>
      </c>
      <c r="AH53" s="48">
        <f>Assumptions!AH78</f>
        <v>0</v>
      </c>
      <c r="AI53" s="48">
        <f>Assumptions!AI78</f>
        <v>0</v>
      </c>
      <c r="AJ53" s="48">
        <f>Assumptions!AJ78</f>
        <v>0</v>
      </c>
      <c r="AK53" s="48">
        <f>Assumptions!AK78</f>
        <v>0</v>
      </c>
      <c r="AL53" s="48">
        <f>Assumptions!AL78</f>
        <v>0</v>
      </c>
    </row>
    <row r="54" spans="1:38" x14ac:dyDescent="0.2">
      <c r="A54" s="53" t="s">
        <v>58</v>
      </c>
      <c r="B54" s="2"/>
      <c r="C54" s="48">
        <f>Assumptions!C79</f>
        <v>5000</v>
      </c>
      <c r="D54" s="48">
        <f>Assumptions!D79</f>
        <v>5000</v>
      </c>
      <c r="E54" s="48">
        <f>Assumptions!E79</f>
        <v>0</v>
      </c>
      <c r="F54" s="48">
        <f>Assumptions!F79</f>
        <v>0</v>
      </c>
      <c r="G54" s="48">
        <f>Assumptions!G79</f>
        <v>0</v>
      </c>
      <c r="H54" s="48">
        <f>Assumptions!H79</f>
        <v>0</v>
      </c>
      <c r="I54" s="48">
        <f>Assumptions!I79</f>
        <v>0</v>
      </c>
      <c r="J54" s="48">
        <f>Assumptions!J79</f>
        <v>0</v>
      </c>
      <c r="K54" s="48">
        <f>Assumptions!K79</f>
        <v>0</v>
      </c>
      <c r="L54" s="48">
        <f>Assumptions!L79</f>
        <v>0</v>
      </c>
      <c r="M54" s="48">
        <f>Assumptions!M79</f>
        <v>0</v>
      </c>
      <c r="N54" s="48">
        <f>Assumptions!N79</f>
        <v>0</v>
      </c>
      <c r="O54" s="48">
        <f>Assumptions!O79</f>
        <v>0</v>
      </c>
      <c r="P54" s="48">
        <f>Assumptions!P79</f>
        <v>0</v>
      </c>
      <c r="Q54" s="48">
        <f>Assumptions!Q79</f>
        <v>0</v>
      </c>
      <c r="R54" s="48">
        <f>Assumptions!R79</f>
        <v>0</v>
      </c>
      <c r="S54" s="48">
        <f>Assumptions!S79</f>
        <v>0</v>
      </c>
      <c r="T54" s="48">
        <f>Assumptions!T79</f>
        <v>0</v>
      </c>
      <c r="U54" s="48">
        <f>Assumptions!U79</f>
        <v>0</v>
      </c>
      <c r="V54" s="48">
        <f>Assumptions!V79</f>
        <v>0</v>
      </c>
      <c r="W54" s="48">
        <f>Assumptions!W79</f>
        <v>0</v>
      </c>
      <c r="X54" s="48">
        <f>Assumptions!X79</f>
        <v>0</v>
      </c>
      <c r="Y54" s="48">
        <f>Assumptions!Y79</f>
        <v>0</v>
      </c>
      <c r="Z54" s="48">
        <f>Assumptions!Z79</f>
        <v>0</v>
      </c>
      <c r="AA54" s="48">
        <f>Assumptions!AA79</f>
        <v>0</v>
      </c>
      <c r="AB54" s="48">
        <f>Assumptions!AB79</f>
        <v>0</v>
      </c>
      <c r="AC54" s="48">
        <f>Assumptions!AC79</f>
        <v>0</v>
      </c>
      <c r="AD54" s="48">
        <f>Assumptions!AD79</f>
        <v>0</v>
      </c>
      <c r="AE54" s="48">
        <f>Assumptions!AE79</f>
        <v>0</v>
      </c>
      <c r="AF54" s="48">
        <f>Assumptions!AF79</f>
        <v>0</v>
      </c>
      <c r="AG54" s="48">
        <f>Assumptions!AG79</f>
        <v>0</v>
      </c>
      <c r="AH54" s="48">
        <f>Assumptions!AH79</f>
        <v>0</v>
      </c>
      <c r="AI54" s="48">
        <f>Assumptions!AI79</f>
        <v>0</v>
      </c>
      <c r="AJ54" s="48">
        <f>Assumptions!AJ79</f>
        <v>0</v>
      </c>
      <c r="AK54" s="48">
        <f>Assumptions!AK79</f>
        <v>0</v>
      </c>
      <c r="AL54" s="48">
        <f>Assumptions!AL79</f>
        <v>0</v>
      </c>
    </row>
    <row r="55" spans="1:38" x14ac:dyDescent="0.2">
      <c r="A55" s="53" t="s">
        <v>59</v>
      </c>
      <c r="B55" s="2"/>
      <c r="C55" s="48">
        <f>Assumptions!C80</f>
        <v>3000</v>
      </c>
      <c r="D55" s="48">
        <f>Assumptions!D80</f>
        <v>0</v>
      </c>
      <c r="E55" s="48">
        <f>Assumptions!E80</f>
        <v>5000</v>
      </c>
      <c r="F55" s="48">
        <f>Assumptions!F80</f>
        <v>0</v>
      </c>
      <c r="G55" s="48">
        <f>Assumptions!G80</f>
        <v>0</v>
      </c>
      <c r="H55" s="48">
        <f>Assumptions!H80</f>
        <v>0</v>
      </c>
      <c r="I55" s="48">
        <f>Assumptions!I80</f>
        <v>0</v>
      </c>
      <c r="J55" s="48">
        <f>Assumptions!J80</f>
        <v>0</v>
      </c>
      <c r="K55" s="48">
        <f>Assumptions!K80</f>
        <v>0</v>
      </c>
      <c r="L55" s="48">
        <f>Assumptions!L80</f>
        <v>0</v>
      </c>
      <c r="M55" s="48">
        <f>Assumptions!M80</f>
        <v>0</v>
      </c>
      <c r="N55" s="48">
        <f>Assumptions!N80</f>
        <v>0</v>
      </c>
      <c r="O55" s="48">
        <f>Assumptions!O80</f>
        <v>0</v>
      </c>
      <c r="P55" s="48">
        <f>Assumptions!P80</f>
        <v>0</v>
      </c>
      <c r="Q55" s="48">
        <f>Assumptions!Q80</f>
        <v>0</v>
      </c>
      <c r="R55" s="48">
        <f>Assumptions!R80</f>
        <v>0</v>
      </c>
      <c r="S55" s="48">
        <f>Assumptions!S80</f>
        <v>0</v>
      </c>
      <c r="T55" s="48">
        <f>Assumptions!T80</f>
        <v>0</v>
      </c>
      <c r="U55" s="48">
        <f>Assumptions!U80</f>
        <v>0</v>
      </c>
      <c r="V55" s="48">
        <f>Assumptions!V80</f>
        <v>0</v>
      </c>
      <c r="W55" s="48">
        <f>Assumptions!W80</f>
        <v>0</v>
      </c>
      <c r="X55" s="48">
        <f>Assumptions!X80</f>
        <v>0</v>
      </c>
      <c r="Y55" s="48">
        <f>Assumptions!Y80</f>
        <v>0</v>
      </c>
      <c r="Z55" s="48">
        <f>Assumptions!Z80</f>
        <v>0</v>
      </c>
      <c r="AA55" s="48">
        <f>Assumptions!AA80</f>
        <v>0</v>
      </c>
      <c r="AB55" s="48">
        <f>Assumptions!AB80</f>
        <v>0</v>
      </c>
      <c r="AC55" s="48">
        <f>Assumptions!AC80</f>
        <v>0</v>
      </c>
      <c r="AD55" s="48">
        <f>Assumptions!AD80</f>
        <v>0</v>
      </c>
      <c r="AE55" s="48">
        <f>Assumptions!AE80</f>
        <v>0</v>
      </c>
      <c r="AF55" s="48">
        <f>Assumptions!AF80</f>
        <v>0</v>
      </c>
      <c r="AG55" s="48">
        <f>Assumptions!AG80</f>
        <v>0</v>
      </c>
      <c r="AH55" s="48">
        <f>Assumptions!AH80</f>
        <v>0</v>
      </c>
      <c r="AI55" s="48">
        <f>Assumptions!AI80</f>
        <v>0</v>
      </c>
      <c r="AJ55" s="48">
        <f>Assumptions!AJ80</f>
        <v>0</v>
      </c>
      <c r="AK55" s="48">
        <f>Assumptions!AK80</f>
        <v>0</v>
      </c>
      <c r="AL55" s="48">
        <f>Assumptions!AL80</f>
        <v>0</v>
      </c>
    </row>
    <row r="56" spans="1:38" x14ac:dyDescent="0.2">
      <c r="A56" s="53" t="s">
        <v>257</v>
      </c>
      <c r="B56" s="2"/>
      <c r="C56" s="50">
        <f>Assumptions!C81</f>
        <v>5000</v>
      </c>
      <c r="D56" s="50">
        <f>Assumptions!D81</f>
        <v>0</v>
      </c>
      <c r="E56" s="50">
        <f>Assumptions!E81</f>
        <v>0</v>
      </c>
      <c r="F56" s="50">
        <f>Assumptions!F81</f>
        <v>0</v>
      </c>
      <c r="G56" s="50">
        <f>Assumptions!G81</f>
        <v>0</v>
      </c>
      <c r="H56" s="50">
        <f>Assumptions!H81</f>
        <v>0</v>
      </c>
      <c r="I56" s="50">
        <f>Assumptions!I81</f>
        <v>0</v>
      </c>
      <c r="J56" s="50">
        <f>Assumptions!J81</f>
        <v>0</v>
      </c>
      <c r="K56" s="50">
        <f>Assumptions!K81</f>
        <v>0</v>
      </c>
      <c r="L56" s="50">
        <f>Assumptions!L81</f>
        <v>0</v>
      </c>
      <c r="M56" s="50">
        <f>Assumptions!M81</f>
        <v>0</v>
      </c>
      <c r="N56" s="50">
        <f>Assumptions!N81</f>
        <v>0</v>
      </c>
      <c r="O56" s="50">
        <f>Assumptions!O81</f>
        <v>0</v>
      </c>
      <c r="P56" s="50">
        <f>Assumptions!P81</f>
        <v>0</v>
      </c>
      <c r="Q56" s="50">
        <f>Assumptions!Q81</f>
        <v>0</v>
      </c>
      <c r="R56" s="50">
        <f>Assumptions!R81</f>
        <v>0</v>
      </c>
      <c r="S56" s="50">
        <f>Assumptions!S81</f>
        <v>0</v>
      </c>
      <c r="T56" s="50">
        <f>Assumptions!T81</f>
        <v>0</v>
      </c>
      <c r="U56" s="50">
        <f>Assumptions!U81</f>
        <v>0</v>
      </c>
      <c r="V56" s="50">
        <f>Assumptions!V81</f>
        <v>0</v>
      </c>
      <c r="W56" s="50">
        <f>Assumptions!W81</f>
        <v>0</v>
      </c>
      <c r="X56" s="50">
        <f>Assumptions!X81</f>
        <v>0</v>
      </c>
      <c r="Y56" s="50">
        <f>Assumptions!Y81</f>
        <v>0</v>
      </c>
      <c r="Z56" s="50">
        <f>Assumptions!Z81</f>
        <v>0</v>
      </c>
      <c r="AA56" s="50">
        <f>Assumptions!AA81</f>
        <v>0</v>
      </c>
      <c r="AB56" s="50">
        <f>Assumptions!AB81</f>
        <v>0</v>
      </c>
      <c r="AC56" s="50">
        <f>Assumptions!AC81</f>
        <v>0</v>
      </c>
      <c r="AD56" s="50">
        <f>Assumptions!AD81</f>
        <v>0</v>
      </c>
      <c r="AE56" s="50">
        <f>Assumptions!AE81</f>
        <v>0</v>
      </c>
      <c r="AF56" s="50">
        <f>Assumptions!AF81</f>
        <v>0</v>
      </c>
      <c r="AG56" s="50">
        <f>Assumptions!AG81</f>
        <v>0</v>
      </c>
      <c r="AH56" s="50">
        <f>Assumptions!AH81</f>
        <v>0</v>
      </c>
      <c r="AI56" s="50">
        <f>Assumptions!AI81</f>
        <v>0</v>
      </c>
      <c r="AJ56" s="50">
        <f>Assumptions!AJ81</f>
        <v>0</v>
      </c>
      <c r="AK56" s="50">
        <f>Assumptions!AK81</f>
        <v>0</v>
      </c>
      <c r="AL56" s="50">
        <f>Assumptions!AL81</f>
        <v>0</v>
      </c>
    </row>
    <row r="57" spans="1:38" x14ac:dyDescent="0.2">
      <c r="A57" s="53" t="s">
        <v>60</v>
      </c>
      <c r="B57" s="2"/>
      <c r="C57" s="48">
        <f>Assumptions!C82</f>
        <v>8000</v>
      </c>
      <c r="D57" s="48">
        <f>Assumptions!D82</f>
        <v>0</v>
      </c>
      <c r="E57" s="48">
        <f>Assumptions!E82</f>
        <v>0</v>
      </c>
      <c r="F57" s="48">
        <f>Assumptions!F82</f>
        <v>0</v>
      </c>
      <c r="G57" s="48">
        <f>Assumptions!G82</f>
        <v>0</v>
      </c>
      <c r="H57" s="48">
        <f>Assumptions!H82</f>
        <v>0</v>
      </c>
      <c r="I57" s="48">
        <f>Assumptions!I82</f>
        <v>0</v>
      </c>
      <c r="J57" s="48">
        <f>Assumptions!J82</f>
        <v>0</v>
      </c>
      <c r="K57" s="48">
        <f>Assumptions!K82</f>
        <v>0</v>
      </c>
      <c r="L57" s="48">
        <f>Assumptions!L82</f>
        <v>0</v>
      </c>
      <c r="M57" s="48">
        <f>Assumptions!M82</f>
        <v>0</v>
      </c>
      <c r="N57" s="48">
        <f>Assumptions!N82</f>
        <v>0</v>
      </c>
      <c r="O57" s="48">
        <f>Assumptions!O82</f>
        <v>0</v>
      </c>
      <c r="P57" s="48">
        <f>Assumptions!P82</f>
        <v>0</v>
      </c>
      <c r="Q57" s="48">
        <f>Assumptions!Q82</f>
        <v>0</v>
      </c>
      <c r="R57" s="48">
        <f>Assumptions!R82</f>
        <v>0</v>
      </c>
      <c r="S57" s="48">
        <f>Assumptions!S82</f>
        <v>0</v>
      </c>
      <c r="T57" s="48">
        <f>Assumptions!T82</f>
        <v>0</v>
      </c>
      <c r="U57" s="48">
        <f>Assumptions!U82</f>
        <v>0</v>
      </c>
      <c r="V57" s="48">
        <f>Assumptions!V82</f>
        <v>0</v>
      </c>
      <c r="W57" s="48">
        <f>Assumptions!W82</f>
        <v>0</v>
      </c>
      <c r="X57" s="48">
        <f>Assumptions!X82</f>
        <v>0</v>
      </c>
      <c r="Y57" s="48">
        <f>Assumptions!Y82</f>
        <v>0</v>
      </c>
      <c r="Z57" s="48">
        <f>Assumptions!Z82</f>
        <v>0</v>
      </c>
      <c r="AA57" s="48">
        <f>Assumptions!AA82</f>
        <v>0</v>
      </c>
      <c r="AB57" s="48">
        <f>Assumptions!AB82</f>
        <v>0</v>
      </c>
      <c r="AC57" s="48">
        <f>Assumptions!AC82</f>
        <v>0</v>
      </c>
      <c r="AD57" s="48">
        <f>Assumptions!AD82</f>
        <v>0</v>
      </c>
      <c r="AE57" s="48">
        <f>Assumptions!AE82</f>
        <v>0</v>
      </c>
      <c r="AF57" s="48">
        <f>Assumptions!AF82</f>
        <v>0</v>
      </c>
      <c r="AG57" s="48">
        <f>Assumptions!AG82</f>
        <v>0</v>
      </c>
      <c r="AH57" s="48">
        <f>Assumptions!AH82</f>
        <v>0</v>
      </c>
      <c r="AI57" s="48">
        <f>Assumptions!AI82</f>
        <v>0</v>
      </c>
      <c r="AJ57" s="48">
        <f>Assumptions!AJ82</f>
        <v>0</v>
      </c>
      <c r="AK57" s="48">
        <f>Assumptions!AK82</f>
        <v>0</v>
      </c>
      <c r="AL57" s="48">
        <f>Assumptions!AL82</f>
        <v>0</v>
      </c>
    </row>
    <row r="58" spans="1:38" x14ac:dyDescent="0.2">
      <c r="A58" s="101" t="s">
        <v>141</v>
      </c>
      <c r="B58" s="102"/>
      <c r="C58" s="103">
        <f>C53+C54+C55+C56+C57</f>
        <v>28000</v>
      </c>
      <c r="D58" s="103">
        <f t="shared" ref="D58:AL58" si="9">D53+D54+D55+D56+D57</f>
        <v>5000</v>
      </c>
      <c r="E58" s="103">
        <f t="shared" si="9"/>
        <v>5000</v>
      </c>
      <c r="F58" s="103">
        <f t="shared" si="9"/>
        <v>0</v>
      </c>
      <c r="G58" s="103">
        <f t="shared" si="9"/>
        <v>0</v>
      </c>
      <c r="H58" s="103">
        <f t="shared" si="9"/>
        <v>0</v>
      </c>
      <c r="I58" s="103">
        <f t="shared" si="9"/>
        <v>0</v>
      </c>
      <c r="J58" s="103">
        <f t="shared" si="9"/>
        <v>0</v>
      </c>
      <c r="K58" s="103">
        <f t="shared" si="9"/>
        <v>0</v>
      </c>
      <c r="L58" s="103">
        <f t="shared" si="9"/>
        <v>0</v>
      </c>
      <c r="M58" s="103">
        <f t="shared" si="9"/>
        <v>0</v>
      </c>
      <c r="N58" s="103">
        <f t="shared" si="9"/>
        <v>0</v>
      </c>
      <c r="O58" s="103">
        <f t="shared" si="9"/>
        <v>0</v>
      </c>
      <c r="P58" s="103">
        <f t="shared" si="9"/>
        <v>0</v>
      </c>
      <c r="Q58" s="103">
        <f t="shared" si="9"/>
        <v>0</v>
      </c>
      <c r="R58" s="103">
        <f t="shared" si="9"/>
        <v>0</v>
      </c>
      <c r="S58" s="103">
        <f t="shared" si="9"/>
        <v>0</v>
      </c>
      <c r="T58" s="103">
        <f t="shared" si="9"/>
        <v>0</v>
      </c>
      <c r="U58" s="103">
        <f t="shared" si="9"/>
        <v>0</v>
      </c>
      <c r="V58" s="103">
        <f t="shared" si="9"/>
        <v>0</v>
      </c>
      <c r="W58" s="103">
        <f t="shared" si="9"/>
        <v>0</v>
      </c>
      <c r="X58" s="103">
        <f t="shared" si="9"/>
        <v>0</v>
      </c>
      <c r="Y58" s="103">
        <f t="shared" si="9"/>
        <v>0</v>
      </c>
      <c r="Z58" s="103">
        <f t="shared" si="9"/>
        <v>0</v>
      </c>
      <c r="AA58" s="103">
        <f t="shared" si="9"/>
        <v>0</v>
      </c>
      <c r="AB58" s="103">
        <f t="shared" si="9"/>
        <v>0</v>
      </c>
      <c r="AC58" s="103">
        <f t="shared" si="9"/>
        <v>0</v>
      </c>
      <c r="AD58" s="103">
        <f t="shared" si="9"/>
        <v>0</v>
      </c>
      <c r="AE58" s="103">
        <f t="shared" si="9"/>
        <v>0</v>
      </c>
      <c r="AF58" s="103">
        <f t="shared" si="9"/>
        <v>0</v>
      </c>
      <c r="AG58" s="103">
        <f t="shared" si="9"/>
        <v>0</v>
      </c>
      <c r="AH58" s="103">
        <f t="shared" si="9"/>
        <v>0</v>
      </c>
      <c r="AI58" s="103">
        <f t="shared" si="9"/>
        <v>0</v>
      </c>
      <c r="AJ58" s="103">
        <f t="shared" si="9"/>
        <v>0</v>
      </c>
      <c r="AK58" s="103">
        <f t="shared" si="9"/>
        <v>0</v>
      </c>
      <c r="AL58" s="103">
        <f t="shared" si="9"/>
        <v>0</v>
      </c>
    </row>
    <row r="59" spans="1:38" x14ac:dyDescent="0.2">
      <c r="A59" s="59" t="s">
        <v>384</v>
      </c>
      <c r="B59" s="60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</row>
    <row r="60" spans="1:38" x14ac:dyDescent="0.2">
      <c r="A60" s="53" t="s">
        <v>142</v>
      </c>
      <c r="B60" s="2"/>
      <c r="C60" s="48">
        <f>(C23+C51)*Assumptions!$B$76</f>
        <v>1135.5101000000002</v>
      </c>
      <c r="D60" s="48">
        <f>(D23+D51)*Assumptions!$B$76</f>
        <v>877.68776350000007</v>
      </c>
      <c r="E60" s="48">
        <f>(E23+E51)*Assumptions!$B$76</f>
        <v>880.77786357250011</v>
      </c>
      <c r="F60" s="48">
        <f>(F23+F51)*Assumptions!$B$76</f>
        <v>894.19342287631252</v>
      </c>
      <c r="G60" s="48">
        <f>(G23+G51)*Assumptions!$B$76</f>
        <v>900.61213802348288</v>
      </c>
      <c r="H60" s="48">
        <f>(H23+H51)*Assumptions!$B$76</f>
        <v>906.61637001544955</v>
      </c>
      <c r="I60" s="48">
        <f>(I23+I51)*Assumptions!$B$76</f>
        <v>1145.0605900785083</v>
      </c>
      <c r="J60" s="48">
        <f>(J23+J51)*Assumptions!$B$76</f>
        <v>1627.6770835694065</v>
      </c>
      <c r="K60" s="48">
        <f>(K23+K51)*Assumptions!$B$76</f>
        <v>1641.1621423725228</v>
      </c>
      <c r="L60" s="48">
        <f>(L23+L51)*Assumptions!$B$76</f>
        <v>1656.5791594063405</v>
      </c>
      <c r="M60" s="48">
        <f>(M23+M51)*Assumptions!$B$76</f>
        <v>1673.9188652727671</v>
      </c>
      <c r="N60" s="48">
        <f>(N23+N51)*Assumptions!$B$76</f>
        <v>1692.1395269716847</v>
      </c>
      <c r="O60" s="48">
        <f>(O23+O51)*Assumptions!$B$76</f>
        <v>1960.2688555403138</v>
      </c>
      <c r="P60" s="48">
        <f>(P23+P51)*Assumptions!$B$76</f>
        <v>1992.9729630368843</v>
      </c>
      <c r="Q60" s="48">
        <f>(Q23+Q51)*Assumptions!$B$76</f>
        <v>2030.0537247201833</v>
      </c>
      <c r="R60" s="48">
        <f>(R23+R51)*Assumptions!$B$76</f>
        <v>2077.4817227822246</v>
      </c>
      <c r="S60" s="48">
        <f>(S23+S51)*Assumptions!$B$76</f>
        <v>2132.322720408225</v>
      </c>
      <c r="T60" s="48">
        <f>(T23+T51)*Assumptions!$B$76</f>
        <v>2190.6565500745646</v>
      </c>
      <c r="U60" s="48">
        <f>(U23+U51)*Assumptions!$B$76</f>
        <v>2251.8187697893286</v>
      </c>
      <c r="V60" s="48">
        <f>(V23+V51)*Assumptions!$B$76</f>
        <v>2287.6757147108879</v>
      </c>
      <c r="W60" s="48">
        <f>(W23+W51)*Assumptions!$B$76</f>
        <v>2326.3976121968576</v>
      </c>
      <c r="X60" s="48">
        <f>(X23+X51)*Assumptions!$B$76</f>
        <v>2368.1976268434332</v>
      </c>
      <c r="Y60" s="48">
        <f>(Y23+Y51)*Assumptions!$B$76</f>
        <v>2413.5655234672972</v>
      </c>
      <c r="Z60" s="48">
        <f>(Z23+Z51)*Assumptions!$B$76</f>
        <v>2462.2198031353819</v>
      </c>
      <c r="AA60" s="48">
        <f>(AA23+AA51)*Assumptions!$B$76</f>
        <v>2515.207257558659</v>
      </c>
      <c r="AB60" s="48">
        <f>(AB23+AB51)*Assumptions!$B$76</f>
        <v>2558.9215023290776</v>
      </c>
      <c r="AC60" s="48">
        <f>(AC23+AC51)*Assumptions!$B$76</f>
        <v>2605.1633241435029</v>
      </c>
      <c r="AD60" s="48">
        <f>(AD23+AD51)*Assumptions!$B$76</f>
        <v>2669.5044019028755</v>
      </c>
      <c r="AE60" s="48">
        <f>(AE23+AE51)*Assumptions!$B$76</f>
        <v>2738.8575281597641</v>
      </c>
      <c r="AF60" s="48">
        <f>(AF23+AF51)*Assumptions!$B$76</f>
        <v>2813.899000461332</v>
      </c>
      <c r="AG60" s="48">
        <f>(AG23+AG51)*Assumptions!$B$76</f>
        <v>2895.0404605236117</v>
      </c>
      <c r="AH60" s="48">
        <f>(AH23+AH51)*Assumptions!$B$76</f>
        <v>2982.6367696942998</v>
      </c>
      <c r="AI60" s="48">
        <f>(AI23+AI51)*Assumptions!$B$76</f>
        <v>3077.4328186030298</v>
      </c>
      <c r="AJ60" s="48">
        <f>(AJ23+AJ51)*Assumptions!$B$76</f>
        <v>3180.0397091144391</v>
      </c>
      <c r="AK60" s="48">
        <f>(AK23+AK51)*Assumptions!$B$76</f>
        <v>3290.7338128448887</v>
      </c>
      <c r="AL60" s="48">
        <f>(AL23+AL51)*Assumptions!$B$76</f>
        <v>3410.2337925789489</v>
      </c>
    </row>
    <row r="61" spans="1:38" ht="17" thickBot="1" x14ac:dyDescent="0.25">
      <c r="A61" s="97" t="s">
        <v>385</v>
      </c>
      <c r="B61" s="67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  <c r="AC61" s="104"/>
      <c r="AD61" s="104"/>
      <c r="AE61" s="104"/>
      <c r="AF61" s="104"/>
      <c r="AG61" s="104"/>
      <c r="AH61" s="104"/>
      <c r="AI61" s="104"/>
      <c r="AJ61" s="104"/>
      <c r="AK61" s="104"/>
      <c r="AL61" s="104"/>
    </row>
    <row r="62" spans="1:38" ht="17" thickTop="1" x14ac:dyDescent="0.2">
      <c r="A62" s="105" t="s">
        <v>143</v>
      </c>
      <c r="B62" s="106"/>
      <c r="C62" s="107">
        <f>C23+C51+C58+C60</f>
        <v>40490.611100000002</v>
      </c>
      <c r="D62" s="107">
        <f t="shared" ref="D62:AL62" si="10">D23+D51+D58+D60</f>
        <v>14654.565398500001</v>
      </c>
      <c r="E62" s="107">
        <f t="shared" si="10"/>
        <v>14688.556499297501</v>
      </c>
      <c r="F62" s="107">
        <f t="shared" si="10"/>
        <v>9836.1276516394373</v>
      </c>
      <c r="G62" s="107">
        <f t="shared" si="10"/>
        <v>9906.733518258312</v>
      </c>
      <c r="H62" s="107">
        <f t="shared" si="10"/>
        <v>9972.7800701699452</v>
      </c>
      <c r="I62" s="107">
        <f t="shared" si="10"/>
        <v>12595.666490863592</v>
      </c>
      <c r="J62" s="107">
        <f t="shared" si="10"/>
        <v>17904.447919263472</v>
      </c>
      <c r="K62" s="107">
        <f t="shared" si="10"/>
        <v>18052.783566097751</v>
      </c>
      <c r="L62" s="107">
        <f t="shared" si="10"/>
        <v>18222.370753469746</v>
      </c>
      <c r="M62" s="107">
        <f t="shared" si="10"/>
        <v>18413.107518000437</v>
      </c>
      <c r="N62" s="107">
        <f t="shared" si="10"/>
        <v>18613.534796688531</v>
      </c>
      <c r="O62" s="107">
        <f t="shared" si="10"/>
        <v>21562.957410943451</v>
      </c>
      <c r="P62" s="107">
        <f t="shared" si="10"/>
        <v>21922.702593405727</v>
      </c>
      <c r="Q62" s="107">
        <f t="shared" si="10"/>
        <v>22330.590971922014</v>
      </c>
      <c r="R62" s="107">
        <f t="shared" si="10"/>
        <v>22852.298950604469</v>
      </c>
      <c r="S62" s="107">
        <f t="shared" si="10"/>
        <v>23455.549924490475</v>
      </c>
      <c r="T62" s="107">
        <f t="shared" si="10"/>
        <v>24097.222050820208</v>
      </c>
      <c r="U62" s="107">
        <f t="shared" si="10"/>
        <v>24770.006467682615</v>
      </c>
      <c r="V62" s="107">
        <f t="shared" si="10"/>
        <v>25164.432861819765</v>
      </c>
      <c r="W62" s="107">
        <f t="shared" si="10"/>
        <v>25590.373734165434</v>
      </c>
      <c r="X62" s="107">
        <f t="shared" si="10"/>
        <v>26050.173895277767</v>
      </c>
      <c r="Y62" s="107">
        <f t="shared" si="10"/>
        <v>26549.220758140265</v>
      </c>
      <c r="Z62" s="107">
        <f t="shared" si="10"/>
        <v>27084.417834489199</v>
      </c>
      <c r="AA62" s="107">
        <f t="shared" si="10"/>
        <v>27667.279833145243</v>
      </c>
      <c r="AB62" s="107">
        <f t="shared" si="10"/>
        <v>28148.136525619851</v>
      </c>
      <c r="AC62" s="107">
        <f t="shared" si="10"/>
        <v>28656.79656557853</v>
      </c>
      <c r="AD62" s="107">
        <f t="shared" si="10"/>
        <v>29364.548420931631</v>
      </c>
      <c r="AE62" s="107">
        <f t="shared" si="10"/>
        <v>30127.432809757403</v>
      </c>
      <c r="AF62" s="107">
        <f t="shared" si="10"/>
        <v>30952.889005074652</v>
      </c>
      <c r="AG62" s="107">
        <f t="shared" si="10"/>
        <v>31845.445065759726</v>
      </c>
      <c r="AH62" s="107">
        <f t="shared" si="10"/>
        <v>32809.004466637292</v>
      </c>
      <c r="AI62" s="107">
        <f t="shared" si="10"/>
        <v>33851.761004633328</v>
      </c>
      <c r="AJ62" s="107">
        <f t="shared" si="10"/>
        <v>34980.436800258831</v>
      </c>
      <c r="AK62" s="107">
        <f t="shared" si="10"/>
        <v>36198.071941293776</v>
      </c>
      <c r="AL62" s="107">
        <f t="shared" si="10"/>
        <v>37512.571718368432</v>
      </c>
    </row>
    <row r="63" spans="1:38" x14ac:dyDescent="0.2">
      <c r="A63" s="98" t="s">
        <v>144</v>
      </c>
      <c r="B63" s="99"/>
      <c r="C63" s="100">
        <f>C23+C51+C60</f>
        <v>12490.6111</v>
      </c>
      <c r="D63" s="100">
        <f t="shared" ref="D63:AL63" si="11">D23+D51+D60</f>
        <v>9654.5653985000008</v>
      </c>
      <c r="E63" s="100">
        <f t="shared" si="11"/>
        <v>9688.5564992975014</v>
      </c>
      <c r="F63" s="100">
        <f t="shared" si="11"/>
        <v>9836.1276516394373</v>
      </c>
      <c r="G63" s="100">
        <f t="shared" si="11"/>
        <v>9906.733518258312</v>
      </c>
      <c r="H63" s="100">
        <f t="shared" si="11"/>
        <v>9972.7800701699452</v>
      </c>
      <c r="I63" s="100">
        <f t="shared" si="11"/>
        <v>12595.666490863592</v>
      </c>
      <c r="J63" s="100">
        <f t="shared" si="11"/>
        <v>17904.447919263472</v>
      </c>
      <c r="K63" s="100">
        <f t="shared" si="11"/>
        <v>18052.783566097751</v>
      </c>
      <c r="L63" s="100">
        <f t="shared" si="11"/>
        <v>18222.370753469746</v>
      </c>
      <c r="M63" s="100">
        <f t="shared" si="11"/>
        <v>18413.107518000437</v>
      </c>
      <c r="N63" s="100">
        <f t="shared" si="11"/>
        <v>18613.534796688531</v>
      </c>
      <c r="O63" s="100">
        <f t="shared" si="11"/>
        <v>21562.957410943451</v>
      </c>
      <c r="P63" s="100">
        <f t="shared" si="11"/>
        <v>21922.702593405727</v>
      </c>
      <c r="Q63" s="100">
        <f t="shared" si="11"/>
        <v>22330.590971922014</v>
      </c>
      <c r="R63" s="100">
        <f t="shared" si="11"/>
        <v>22852.298950604469</v>
      </c>
      <c r="S63" s="100">
        <f t="shared" si="11"/>
        <v>23455.549924490475</v>
      </c>
      <c r="T63" s="100">
        <f t="shared" si="11"/>
        <v>24097.222050820208</v>
      </c>
      <c r="U63" s="100">
        <f t="shared" si="11"/>
        <v>24770.006467682615</v>
      </c>
      <c r="V63" s="100">
        <f t="shared" si="11"/>
        <v>25164.432861819765</v>
      </c>
      <c r="W63" s="100">
        <f t="shared" si="11"/>
        <v>25590.373734165434</v>
      </c>
      <c r="X63" s="100">
        <f t="shared" si="11"/>
        <v>26050.173895277767</v>
      </c>
      <c r="Y63" s="100">
        <f t="shared" si="11"/>
        <v>26549.220758140265</v>
      </c>
      <c r="Z63" s="100">
        <f t="shared" si="11"/>
        <v>27084.417834489199</v>
      </c>
      <c r="AA63" s="100">
        <f t="shared" si="11"/>
        <v>27667.279833145243</v>
      </c>
      <c r="AB63" s="100">
        <f t="shared" si="11"/>
        <v>28148.136525619851</v>
      </c>
      <c r="AC63" s="100">
        <f t="shared" si="11"/>
        <v>28656.79656557853</v>
      </c>
      <c r="AD63" s="100">
        <f t="shared" si="11"/>
        <v>29364.548420931631</v>
      </c>
      <c r="AE63" s="100">
        <f t="shared" si="11"/>
        <v>30127.432809757403</v>
      </c>
      <c r="AF63" s="100">
        <f t="shared" si="11"/>
        <v>30952.889005074652</v>
      </c>
      <c r="AG63" s="100">
        <f t="shared" si="11"/>
        <v>31845.445065759726</v>
      </c>
      <c r="AH63" s="100">
        <f t="shared" si="11"/>
        <v>32809.004466637292</v>
      </c>
      <c r="AI63" s="100">
        <f t="shared" si="11"/>
        <v>33851.761004633328</v>
      </c>
      <c r="AJ63" s="100">
        <f t="shared" si="11"/>
        <v>34980.436800258831</v>
      </c>
      <c r="AK63" s="100">
        <f t="shared" si="11"/>
        <v>36198.071941293776</v>
      </c>
      <c r="AL63" s="100">
        <f t="shared" si="11"/>
        <v>37512.571718368432</v>
      </c>
    </row>
    <row r="64" spans="1:38" x14ac:dyDescent="0.2">
      <c r="A64" s="59" t="s">
        <v>377</v>
      </c>
      <c r="B64" s="60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  <c r="AK64" s="61"/>
      <c r="AL64" s="61"/>
    </row>
    <row r="65" spans="1:38" x14ac:dyDescent="0.2">
      <c r="A65" s="53" t="s">
        <v>145</v>
      </c>
      <c r="B65" s="4">
        <f>SUM(C62:N62)</f>
        <v>203351.28528224872</v>
      </c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</row>
    <row r="66" spans="1:38" x14ac:dyDescent="0.2">
      <c r="A66" s="53" t="s">
        <v>146</v>
      </c>
      <c r="B66" s="4">
        <f>SUM(O62:Z62)</f>
        <v>291429.94745376142</v>
      </c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</row>
    <row r="67" spans="1:38" x14ac:dyDescent="0.2">
      <c r="A67" s="53" t="s">
        <v>147</v>
      </c>
      <c r="B67" s="4">
        <f>SUM(AA62:AL62)</f>
        <v>382114.37415705872</v>
      </c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</row>
  </sheetData>
  <conditionalFormatting sqref="C3:AL67">
    <cfRule type="expression" dxfId="34" priority="1">
      <formula>AND(ISNUMBER(C3),C3&lt;0)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98AC0-4641-5843-8BA8-EBACCAF1323D}">
  <dimension ref="A1:AL30"/>
  <sheetViews>
    <sheetView showGridLines="0" workbookViewId="0">
      <selection activeCell="K32" sqref="K32"/>
    </sheetView>
  </sheetViews>
  <sheetFormatPr baseColWidth="10" defaultRowHeight="16" x14ac:dyDescent="0.2"/>
  <cols>
    <col min="1" max="1" width="27.5" style="42" bestFit="1" customWidth="1"/>
    <col min="2" max="2" width="10.83203125" customWidth="1"/>
    <col min="3" max="37" width="9.1640625" style="46" customWidth="1"/>
    <col min="38" max="38" width="9.83203125" style="46" bestFit="1" customWidth="1"/>
  </cols>
  <sheetData>
    <row r="1" spans="1:38" ht="17" thickBot="1" x14ac:dyDescent="0.25">
      <c r="A1" s="64" t="s">
        <v>148</v>
      </c>
      <c r="B1" s="64" t="s">
        <v>72</v>
      </c>
      <c r="C1" s="176" t="s">
        <v>409</v>
      </c>
      <c r="D1" s="176" t="s">
        <v>410</v>
      </c>
      <c r="E1" s="176" t="s">
        <v>411</v>
      </c>
      <c r="F1" s="176" t="s">
        <v>412</v>
      </c>
      <c r="G1" s="176" t="s">
        <v>413</v>
      </c>
      <c r="H1" s="176" t="s">
        <v>414</v>
      </c>
      <c r="I1" s="176" t="s">
        <v>415</v>
      </c>
      <c r="J1" s="176" t="s">
        <v>416</v>
      </c>
      <c r="K1" s="176" t="s">
        <v>417</v>
      </c>
      <c r="L1" s="176" t="s">
        <v>418</v>
      </c>
      <c r="M1" s="176" t="s">
        <v>419</v>
      </c>
      <c r="N1" s="176" t="s">
        <v>420</v>
      </c>
      <c r="O1" s="176" t="s">
        <v>421</v>
      </c>
      <c r="P1" s="176" t="s">
        <v>422</v>
      </c>
      <c r="Q1" s="176" t="s">
        <v>423</v>
      </c>
      <c r="R1" s="176" t="s">
        <v>424</v>
      </c>
      <c r="S1" s="176" t="s">
        <v>425</v>
      </c>
      <c r="T1" s="176" t="s">
        <v>426</v>
      </c>
      <c r="U1" s="176" t="s">
        <v>427</v>
      </c>
      <c r="V1" s="176" t="s">
        <v>428</v>
      </c>
      <c r="W1" s="176" t="s">
        <v>429</v>
      </c>
      <c r="X1" s="176" t="s">
        <v>430</v>
      </c>
      <c r="Y1" s="176" t="s">
        <v>431</v>
      </c>
      <c r="Z1" s="176" t="s">
        <v>432</v>
      </c>
      <c r="AA1" s="176" t="s">
        <v>433</v>
      </c>
      <c r="AB1" s="176" t="s">
        <v>434</v>
      </c>
      <c r="AC1" s="176" t="s">
        <v>435</v>
      </c>
      <c r="AD1" s="176" t="s">
        <v>436</v>
      </c>
      <c r="AE1" s="176" t="s">
        <v>437</v>
      </c>
      <c r="AF1" s="176" t="s">
        <v>438</v>
      </c>
      <c r="AG1" s="176" t="s">
        <v>439</v>
      </c>
      <c r="AH1" s="176" t="s">
        <v>440</v>
      </c>
      <c r="AI1" s="176" t="s">
        <v>441</v>
      </c>
      <c r="AJ1" s="176" t="s">
        <v>442</v>
      </c>
      <c r="AK1" s="176" t="s">
        <v>443</v>
      </c>
      <c r="AL1" s="176" t="s">
        <v>444</v>
      </c>
    </row>
    <row r="2" spans="1:38" x14ac:dyDescent="0.2">
      <c r="A2" s="90" t="s">
        <v>386</v>
      </c>
      <c r="B2" s="91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</row>
    <row r="3" spans="1:38" x14ac:dyDescent="0.2">
      <c r="A3" s="40" t="s">
        <v>149</v>
      </c>
      <c r="B3" s="2" t="s">
        <v>57</v>
      </c>
      <c r="C3" s="50">
        <f>IFERROR((Costs!C23-Costs!C26)/Revenue!C30,0)</f>
        <v>3.9009999999999998</v>
      </c>
      <c r="D3" s="50">
        <f>IFERROR((Costs!D23-Costs!D26)/Revenue!D30,0)</f>
        <v>3.0869649122807008</v>
      </c>
      <c r="E3" s="50">
        <f>IFERROR((Costs!E23-Costs!E26)/Revenue!E30,0)</f>
        <v>2.9827212329475667</v>
      </c>
      <c r="F3" s="50">
        <f>IFERROR((Costs!F23-Costs!F26)/Revenue!F30,0)</f>
        <v>2.9823286059744643</v>
      </c>
      <c r="G3" s="50">
        <f>IFERROR((Costs!G23-Costs!G26)/Revenue!G30,0)</f>
        <v>2.9825486168126027</v>
      </c>
      <c r="H3" s="50">
        <f>IFERROR((Costs!H23-Costs!H26)/Revenue!H30,0)</f>
        <v>2.9811284132931712</v>
      </c>
      <c r="I3" s="50">
        <f>IFERROR((Costs!I23-Costs!I26)/Revenue!I30,0)</f>
        <v>2.9794367588168598</v>
      </c>
      <c r="J3" s="50">
        <f>IFERROR((Costs!J23-Costs!J26)/Revenue!J30,0)</f>
        <v>2.9793914213345798</v>
      </c>
      <c r="K3" s="50">
        <f>IFERROR((Costs!K23-Costs!K26)/Revenue!K30,0)</f>
        <v>2.9764576278969184</v>
      </c>
      <c r="L3" s="50">
        <f>IFERROR((Costs!L23-Costs!L26)/Revenue!L30,0)</f>
        <v>2.9773805738975625</v>
      </c>
      <c r="M3" s="50">
        <f>IFERROR((Costs!M23-Costs!M26)/Revenue!M30,0)</f>
        <v>2.9751274201992128</v>
      </c>
      <c r="N3" s="50">
        <f>IFERROR((Costs!N23-Costs!N26)/Revenue!N30,0)</f>
        <v>2.9752270595814125</v>
      </c>
      <c r="O3" s="50">
        <f>IFERROR((Costs!O23-Costs!O26)/Revenue!O30,0)</f>
        <v>3.0224113665114141</v>
      </c>
      <c r="P3" s="50">
        <f>IFERROR((Costs!P23-Costs!P26)/Revenue!P30,0)</f>
        <v>3.0218815561283261</v>
      </c>
      <c r="Q3" s="50">
        <f>IFERROR((Costs!Q23-Costs!Q26)/Revenue!Q30,0)</f>
        <v>3.0200356171522587</v>
      </c>
      <c r="R3" s="50">
        <f>IFERROR((Costs!R23-Costs!R26)/Revenue!R30,0)</f>
        <v>3.023619562074626</v>
      </c>
      <c r="S3" s="50">
        <f>IFERROR((Costs!S23-Costs!S26)/Revenue!S30,0)</f>
        <v>3.0221803630189599</v>
      </c>
      <c r="T3" s="50">
        <f>IFERROR((Costs!T23-Costs!T26)/Revenue!T30,0)</f>
        <v>3.0215012060352779</v>
      </c>
      <c r="U3" s="50">
        <f>IFERROR((Costs!U23-Costs!U26)/Revenue!U30,0)</f>
        <v>3.0219485429717414</v>
      </c>
      <c r="V3" s="50">
        <f>IFERROR((Costs!V23-Costs!V26)/Revenue!V30,0)</f>
        <v>3.0218085468360556</v>
      </c>
      <c r="W3" s="50">
        <f>IFERROR((Costs!W23-Costs!W26)/Revenue!W30,0)</f>
        <v>3.0223275634286839</v>
      </c>
      <c r="X3" s="50">
        <f>IFERROR((Costs!X23-Costs!X26)/Revenue!X30,0)</f>
        <v>3.0218060751137297</v>
      </c>
      <c r="Y3" s="50">
        <f>IFERROR((Costs!Y23-Costs!Y26)/Revenue!Y30,0)</f>
        <v>3.0222823709660984</v>
      </c>
      <c r="Z3" s="50">
        <f>IFERROR((Costs!Z23-Costs!Z26)/Revenue!Z30,0)</f>
        <v>3.0213808290350062</v>
      </c>
      <c r="AA3" s="50">
        <f>IFERROR((Costs!AA23-Costs!AA26)/Revenue!AA30,0)</f>
        <v>3.0221597677605345</v>
      </c>
      <c r="AB3" s="50">
        <f>IFERROR((Costs!AB23-Costs!AB26)/Revenue!AB30,0)</f>
        <v>3.0221147017576326</v>
      </c>
      <c r="AC3" s="50">
        <f>IFERROR((Costs!AC23-Costs!AC26)/Revenue!AC30,0)</f>
        <v>3.0218418698025209</v>
      </c>
      <c r="AD3" s="50">
        <f>IFERROR((Costs!AD23-Costs!AD26)/Revenue!AD30,0)</f>
        <v>3.0218116676882696</v>
      </c>
      <c r="AE3" s="50">
        <f>IFERROR((Costs!AE23-Costs!AE26)/Revenue!AE30,0)</f>
        <v>3.021881766472561</v>
      </c>
      <c r="AF3" s="50">
        <f>IFERROR((Costs!AF23-Costs!AF26)/Revenue!AF30,0)</f>
        <v>3.0216685302577346</v>
      </c>
      <c r="AG3" s="50">
        <f>IFERROR((Costs!AG23-Costs!AG26)/Revenue!AG30,0)</f>
        <v>3.021858571945411</v>
      </c>
      <c r="AH3" s="50">
        <f>IFERROR((Costs!AH23-Costs!AH26)/Revenue!AH30,0)</f>
        <v>3.0217092320562084</v>
      </c>
      <c r="AI3" s="50">
        <f>IFERROR((Costs!AI23-Costs!AI26)/Revenue!AI30,0)</f>
        <v>3.0217374465704032</v>
      </c>
      <c r="AJ3" s="50">
        <f>IFERROR((Costs!AJ23-Costs!AJ26)/Revenue!AJ30,0)</f>
        <v>3.0218413160330404</v>
      </c>
      <c r="AK3" s="50">
        <f>IFERROR((Costs!AK23-Costs!AK26)/Revenue!AK30,0)</f>
        <v>3.0219925118538749</v>
      </c>
      <c r="AL3" s="50">
        <f>IFERROR((Costs!AL23-Costs!AL26)/Revenue!AL30,0)</f>
        <v>3.0218569828610771</v>
      </c>
    </row>
    <row r="4" spans="1:38" x14ac:dyDescent="0.2">
      <c r="A4" s="40" t="s">
        <v>150</v>
      </c>
      <c r="B4" s="2" t="s">
        <v>57</v>
      </c>
      <c r="C4" s="50">
        <f>IFERROR(Costs!C23/Revenue!C23,0)</f>
        <v>1.8876250000000001</v>
      </c>
      <c r="D4" s="50">
        <f>IFERROR(Costs!D23/Revenue!D23,0)</f>
        <v>1.8315189967717904</v>
      </c>
      <c r="E4" s="50">
        <f>IFERROR(Costs!E23/Revenue!E23,0)</f>
        <v>1.8046282997931873</v>
      </c>
      <c r="F4" s="50">
        <f>IFERROR(Costs!F23/Revenue!F23,0)</f>
        <v>2.7734855909252278</v>
      </c>
      <c r="G4" s="50">
        <f>IFERROR(Costs!G23/Revenue!G23,0)</f>
        <v>2.7803283111581472</v>
      </c>
      <c r="H4" s="50">
        <f>IFERROR(Costs!H23/Revenue!H23,0)</f>
        <v>2.7699981818926105</v>
      </c>
      <c r="I4" s="50">
        <f>IFERROR(Costs!I23/Revenue!I23,0)</f>
        <v>2.7743838928314446</v>
      </c>
      <c r="J4" s="50">
        <f>IFERROR(Costs!J23/Revenue!J23,0)</f>
        <v>2.7761675369602821</v>
      </c>
      <c r="K4" s="50">
        <f>IFERROR(Costs!K23/Revenue!K23,0)</f>
        <v>2.7691803747957158</v>
      </c>
      <c r="L4" s="50">
        <f>IFERROR(Costs!L23/Revenue!L23,0)</f>
        <v>2.7716180254315708</v>
      </c>
      <c r="M4" s="50">
        <f>IFERROR(Costs!M23/Revenue!M23,0)</f>
        <v>2.7674474578693551</v>
      </c>
      <c r="N4" s="50">
        <f>IFERROR(Costs!N23/Revenue!N23,0)</f>
        <v>2.7673525299245338</v>
      </c>
      <c r="O4" s="50">
        <f>IFERROR(Costs!O23/Revenue!O23,0)</f>
        <v>2.9503748966310783</v>
      </c>
      <c r="P4" s="50">
        <f>IFERROR(Costs!P23/Revenue!P23,0)</f>
        <v>2.9512489731416558</v>
      </c>
      <c r="Q4" s="50">
        <f>IFERROR(Costs!Q23/Revenue!Q23,0)</f>
        <v>2.9481338699695607</v>
      </c>
      <c r="R4" s="50">
        <f>IFERROR(Costs!R23/Revenue!R23,0)</f>
        <v>2.9532050872720395</v>
      </c>
      <c r="S4" s="50">
        <f>IFERROR(Costs!S23/Revenue!S23,0)</f>
        <v>2.9508363224267358</v>
      </c>
      <c r="T4" s="50">
        <f>IFERROR(Costs!T23/Revenue!T23,0)</f>
        <v>2.9501174090272557</v>
      </c>
      <c r="U4" s="50">
        <f>IFERROR(Costs!U23/Revenue!U23,0)</f>
        <v>2.9509124060896883</v>
      </c>
      <c r="V4" s="50">
        <f>IFERROR(Costs!V23/Revenue!V23,0)</f>
        <v>2.9508427006458633</v>
      </c>
      <c r="W4" s="50">
        <f>IFERROR(Costs!W23/Revenue!W23,0)</f>
        <v>2.9509676229799773</v>
      </c>
      <c r="X4" s="50">
        <f>IFERROR(Costs!X23/Revenue!X23,0)</f>
        <v>2.9505621051965005</v>
      </c>
      <c r="Y4" s="50">
        <f>IFERROR(Costs!Y23/Revenue!Y23,0)</f>
        <v>2.9514814301015497</v>
      </c>
      <c r="Z4" s="50">
        <f>IFERROR(Costs!Z23/Revenue!Z23,0)</f>
        <v>2.9501472391384782</v>
      </c>
      <c r="AA4" s="50">
        <f>IFERROR(Costs!AA23/Revenue!AA23,0)</f>
        <v>2.9508704232486087</v>
      </c>
      <c r="AB4" s="50">
        <f>IFERROR(Costs!AB23/Revenue!AB23,0)</f>
        <v>2.951061285919292</v>
      </c>
      <c r="AC4" s="50">
        <f>IFERROR(Costs!AC23/Revenue!AC23,0)</f>
        <v>2.950720215665025</v>
      </c>
      <c r="AD4" s="50">
        <f>IFERROR(Costs!AD23/Revenue!AD23,0)</f>
        <v>2.9506480023049044</v>
      </c>
      <c r="AE4" s="50">
        <f>IFERROR(Costs!AE23/Revenue!AE23,0)</f>
        <v>2.9506091913281978</v>
      </c>
      <c r="AF4" s="50">
        <f>IFERROR(Costs!AF23/Revenue!AF23,0)</f>
        <v>2.9507163263490974</v>
      </c>
      <c r="AG4" s="50">
        <f>IFERROR(Costs!AG23/Revenue!AG23,0)</f>
        <v>2.9507885678723005</v>
      </c>
      <c r="AH4" s="50">
        <f>IFERROR(Costs!AH23/Revenue!AH23,0)</f>
        <v>2.9505935244676813</v>
      </c>
      <c r="AI4" s="50">
        <f>IFERROR(Costs!AI23/Revenue!AI23,0)</f>
        <v>2.9506425349304619</v>
      </c>
      <c r="AJ4" s="50">
        <f>IFERROR(Costs!AJ23/Revenue!AJ23,0)</f>
        <v>2.9508551652401644</v>
      </c>
      <c r="AK4" s="50">
        <f>IFERROR(Costs!AK23/Revenue!AK23,0)</f>
        <v>2.9509203204273176</v>
      </c>
      <c r="AL4" s="50">
        <f>IFERROR(Costs!AL23/Revenue!AL23,0)</f>
        <v>2.9508560201807055</v>
      </c>
    </row>
    <row r="5" spans="1:38" x14ac:dyDescent="0.2">
      <c r="A5" s="40" t="s">
        <v>151</v>
      </c>
      <c r="B5" s="2" t="s">
        <v>57</v>
      </c>
      <c r="C5" s="50">
        <f>Costs!C26</f>
        <v>11.200000000000001</v>
      </c>
      <c r="D5" s="50">
        <f>Costs!D26</f>
        <v>27.200000000000006</v>
      </c>
      <c r="E5" s="50">
        <f>Costs!E26</f>
        <v>51.2</v>
      </c>
      <c r="F5" s="50">
        <f>Costs!F26</f>
        <v>17.600000000000001</v>
      </c>
      <c r="G5" s="50">
        <f>Costs!G26</f>
        <v>22.4</v>
      </c>
      <c r="H5" s="50">
        <f>Costs!H26</f>
        <v>28.800000000000004</v>
      </c>
      <c r="I5" s="50">
        <f>Costs!I26</f>
        <v>35.199999999999996</v>
      </c>
      <c r="J5" s="50">
        <f>Costs!J26</f>
        <v>43.20000000000001</v>
      </c>
      <c r="K5" s="50">
        <f>Costs!K26</f>
        <v>56</v>
      </c>
      <c r="L5" s="50">
        <f>Costs!L26</f>
        <v>68.800000000000011</v>
      </c>
      <c r="M5" s="50">
        <f>Costs!M26</f>
        <v>84.800000000000011</v>
      </c>
      <c r="N5" s="50">
        <f>Costs!N26</f>
        <v>100.80000000000001</v>
      </c>
      <c r="O5" s="50">
        <f>Costs!O26</f>
        <v>41.6</v>
      </c>
      <c r="P5" s="50">
        <f>Costs!P26</f>
        <v>49.6</v>
      </c>
      <c r="Q5" s="50">
        <f>Costs!Q26</f>
        <v>60.800000000000011</v>
      </c>
      <c r="R5" s="50">
        <f>Costs!R26</f>
        <v>72.000000000000014</v>
      </c>
      <c r="S5" s="50">
        <f>Costs!S26</f>
        <v>88.000000000000014</v>
      </c>
      <c r="T5" s="50">
        <f>Costs!T26</f>
        <v>104</v>
      </c>
      <c r="U5" s="50">
        <f>Costs!U26</f>
        <v>120.00000000000001</v>
      </c>
      <c r="V5" s="50">
        <f>Costs!V26</f>
        <v>129.60000000000002</v>
      </c>
      <c r="W5" s="50">
        <f>Costs!W26</f>
        <v>140.80000000000001</v>
      </c>
      <c r="X5" s="50">
        <f>Costs!X26</f>
        <v>152.00000000000003</v>
      </c>
      <c r="Y5" s="50">
        <f>Costs!Y26</f>
        <v>163.20000000000002</v>
      </c>
      <c r="Z5" s="50">
        <f>Costs!Z26</f>
        <v>177.6</v>
      </c>
      <c r="AA5" s="50">
        <f>Costs!AA26</f>
        <v>192</v>
      </c>
      <c r="AB5" s="50">
        <f>Costs!AB26</f>
        <v>203.20000000000002</v>
      </c>
      <c r="AC5" s="50">
        <f>Costs!AC26</f>
        <v>216</v>
      </c>
      <c r="AD5" s="50">
        <f>Costs!AD26</f>
        <v>233.6</v>
      </c>
      <c r="AE5" s="50">
        <f>Costs!AE26</f>
        <v>252.8</v>
      </c>
      <c r="AF5" s="50">
        <f>Costs!AF26</f>
        <v>272.00000000000006</v>
      </c>
      <c r="AG5" s="50">
        <f>Costs!AG26</f>
        <v>294.39999999999998</v>
      </c>
      <c r="AH5" s="50">
        <f>Costs!AH26</f>
        <v>318.40000000000003</v>
      </c>
      <c r="AI5" s="50">
        <f>Costs!AI26</f>
        <v>344</v>
      </c>
      <c r="AJ5" s="50">
        <f>Costs!AJ26</f>
        <v>371.2</v>
      </c>
      <c r="AK5" s="50">
        <f>Costs!AK26</f>
        <v>401.60000000000008</v>
      </c>
      <c r="AL5" s="50">
        <f>Costs!AL26</f>
        <v>433.60000000000008</v>
      </c>
    </row>
    <row r="6" spans="1:38" x14ac:dyDescent="0.2">
      <c r="A6" s="40" t="s">
        <v>152</v>
      </c>
      <c r="B6" s="2" t="s">
        <v>57</v>
      </c>
      <c r="C6" s="50">
        <f>IFERROR(Costs!C26/Revenue!C26,0)</f>
        <v>1.6</v>
      </c>
      <c r="D6" s="50">
        <f>IFERROR(Costs!D26/Revenue!D26,0)</f>
        <v>1.6000000000000003</v>
      </c>
      <c r="E6" s="50">
        <f>IFERROR(Costs!E26/Revenue!E26,0)</f>
        <v>1.6</v>
      </c>
      <c r="F6" s="50">
        <f>IFERROR(Costs!F26/Revenue!F26,0)</f>
        <v>1.6</v>
      </c>
      <c r="G6" s="50">
        <f>IFERROR(Costs!G26/Revenue!G26,0)</f>
        <v>1.5999999999999999</v>
      </c>
      <c r="H6" s="50">
        <f>IFERROR(Costs!H26/Revenue!H26,0)</f>
        <v>1.6000000000000003</v>
      </c>
      <c r="I6" s="50">
        <f>IFERROR(Costs!I26/Revenue!I26,0)</f>
        <v>1.5999999999999999</v>
      </c>
      <c r="J6" s="50">
        <f>IFERROR(Costs!J26/Revenue!J26,0)</f>
        <v>1.6000000000000003</v>
      </c>
      <c r="K6" s="50">
        <f>IFERROR(Costs!K26/Revenue!K26,0)</f>
        <v>1.6</v>
      </c>
      <c r="L6" s="50">
        <f>IFERROR(Costs!L26/Revenue!L26,0)</f>
        <v>1.6000000000000003</v>
      </c>
      <c r="M6" s="50">
        <f>IFERROR(Costs!M26/Revenue!M26,0)</f>
        <v>1.6000000000000003</v>
      </c>
      <c r="N6" s="50">
        <f>IFERROR(Costs!N26/Revenue!N26,0)</f>
        <v>1.6</v>
      </c>
      <c r="O6" s="50">
        <f>IFERROR(Costs!O26/Revenue!O26,0)</f>
        <v>1.6</v>
      </c>
      <c r="P6" s="50">
        <f>IFERROR(Costs!P26/Revenue!P26,0)</f>
        <v>1.6</v>
      </c>
      <c r="Q6" s="50">
        <f>IFERROR(Costs!Q26/Revenue!Q26,0)</f>
        <v>1.6000000000000003</v>
      </c>
      <c r="R6" s="50">
        <f>IFERROR(Costs!R26/Revenue!R26,0)</f>
        <v>1.6000000000000003</v>
      </c>
      <c r="S6" s="50">
        <f>IFERROR(Costs!S26/Revenue!S26,0)</f>
        <v>1.6000000000000003</v>
      </c>
      <c r="T6" s="50">
        <f>IFERROR(Costs!T26/Revenue!T26,0)</f>
        <v>1.6</v>
      </c>
      <c r="U6" s="50">
        <f>IFERROR(Costs!U26/Revenue!U26,0)</f>
        <v>1.6</v>
      </c>
      <c r="V6" s="50">
        <f>IFERROR(Costs!V26/Revenue!V26,0)</f>
        <v>1.6000000000000003</v>
      </c>
      <c r="W6" s="50">
        <f>IFERROR(Costs!W26/Revenue!W26,0)</f>
        <v>1.6</v>
      </c>
      <c r="X6" s="50">
        <f>IFERROR(Costs!X26/Revenue!X26,0)</f>
        <v>1.6000000000000003</v>
      </c>
      <c r="Y6" s="50">
        <f>IFERROR(Costs!Y26/Revenue!Y26,0)</f>
        <v>1.6</v>
      </c>
      <c r="Z6" s="50">
        <f>IFERROR(Costs!Z26/Revenue!Z26,0)</f>
        <v>1.5999999999999999</v>
      </c>
      <c r="AA6" s="50">
        <f>IFERROR(Costs!AA26/Revenue!AA26,0)</f>
        <v>1.6</v>
      </c>
      <c r="AB6" s="50">
        <f>IFERROR(Costs!AB26/Revenue!AB26,0)</f>
        <v>1.6</v>
      </c>
      <c r="AC6" s="50">
        <f>IFERROR(Costs!AC26/Revenue!AC26,0)</f>
        <v>1.6</v>
      </c>
      <c r="AD6" s="50">
        <f>IFERROR(Costs!AD26/Revenue!AD26,0)</f>
        <v>1.5999999999999999</v>
      </c>
      <c r="AE6" s="50">
        <f>IFERROR(Costs!AE26/Revenue!AE26,0)</f>
        <v>1.6</v>
      </c>
      <c r="AF6" s="50">
        <f>IFERROR(Costs!AF26/Revenue!AF26,0)</f>
        <v>1.6000000000000003</v>
      </c>
      <c r="AG6" s="50">
        <f>IFERROR(Costs!AG26/Revenue!AG26,0)</f>
        <v>1.5999999999999999</v>
      </c>
      <c r="AH6" s="50">
        <f>IFERROR(Costs!AH26/Revenue!AH26,0)</f>
        <v>1.6</v>
      </c>
      <c r="AI6" s="50">
        <f>IFERROR(Costs!AI26/Revenue!AI26,0)</f>
        <v>1.6</v>
      </c>
      <c r="AJ6" s="50">
        <f>IFERROR(Costs!AJ26/Revenue!AJ26,0)</f>
        <v>1.5999999999999999</v>
      </c>
      <c r="AK6" s="50">
        <f>IFERROR(Costs!AK26/Revenue!AK26,0)</f>
        <v>1.6000000000000003</v>
      </c>
      <c r="AL6" s="50">
        <f>IFERROR(Costs!AL26/Revenue!AL26,0)</f>
        <v>1.6000000000000003</v>
      </c>
    </row>
    <row r="7" spans="1:38" x14ac:dyDescent="0.2">
      <c r="A7" s="59" t="s">
        <v>387</v>
      </c>
      <c r="B7" s="60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</row>
    <row r="8" spans="1:38" x14ac:dyDescent="0.2">
      <c r="A8" s="40" t="s">
        <v>98</v>
      </c>
      <c r="B8" s="2" t="s">
        <v>57</v>
      </c>
      <c r="C8" s="50">
        <f>Revenue!C40</f>
        <v>66.930000000000007</v>
      </c>
      <c r="D8" s="50">
        <f>Revenue!D40</f>
        <v>124.46554999999987</v>
      </c>
      <c r="E8" s="50">
        <f>Revenue!E40</f>
        <v>201.29199924999955</v>
      </c>
      <c r="F8" s="50">
        <f>Revenue!F40</f>
        <v>2237.6046990812497</v>
      </c>
      <c r="G8" s="50">
        <f>Revenue!G40</f>
        <v>2958.879256374531</v>
      </c>
      <c r="H8" s="50">
        <f>Revenue!H40</f>
        <v>3607.100859097744</v>
      </c>
      <c r="I8" s="50">
        <f>Revenue!I40</f>
        <v>4549.229669199096</v>
      </c>
      <c r="J8" s="50">
        <f>Revenue!J40</f>
        <v>5641.7118772119129</v>
      </c>
      <c r="K8" s="50">
        <f>Revenue!K40</f>
        <v>7108.3465495845949</v>
      </c>
      <c r="L8" s="50">
        <f>Revenue!L40</f>
        <v>8823.3000232411268</v>
      </c>
      <c r="M8" s="50">
        <f>Revenue!M40</f>
        <v>10714.016028470382</v>
      </c>
      <c r="N8" s="50">
        <f>Revenue!N40</f>
        <v>12723.752730619985</v>
      </c>
      <c r="O8" s="50">
        <f>Revenue!O40</f>
        <v>18297.892595009482</v>
      </c>
      <c r="P8" s="50">
        <f>Revenue!P40</f>
        <v>22254.23792888661</v>
      </c>
      <c r="Q8" s="50">
        <f>Revenue!Q40</f>
        <v>26692.099962886095</v>
      </c>
      <c r="R8" s="50">
        <f>Revenue!R40</f>
        <v>32501.785454535468</v>
      </c>
      <c r="S8" s="50">
        <f>Revenue!S40</f>
        <v>39088.060181805937</v>
      </c>
      <c r="T8" s="50">
        <f>Revenue!T40</f>
        <v>46116.753900257892</v>
      </c>
      <c r="U8" s="50">
        <f>Revenue!U40</f>
        <v>53524.89121250897</v>
      </c>
      <c r="V8" s="50">
        <f>Revenue!V40</f>
        <v>57853.933826197681</v>
      </c>
      <c r="W8" s="50">
        <f>Revenue!W40</f>
        <v>62541.241692734373</v>
      </c>
      <c r="X8" s="50">
        <f>Revenue!X40</f>
        <v>67574.303421253513</v>
      </c>
      <c r="Y8" s="50">
        <f>Revenue!Y40</f>
        <v>73088.172483122748</v>
      </c>
      <c r="Z8" s="50">
        <f>Revenue!Z40</f>
        <v>78912.561968344322</v>
      </c>
      <c r="AA8" s="50">
        <f>Revenue!AA40</f>
        <v>85349.061134070784</v>
      </c>
      <c r="AB8" s="50">
        <f>Revenue!AB40</f>
        <v>90636.84888717033</v>
      </c>
      <c r="AC8" s="50">
        <f>Revenue!AC40</f>
        <v>96206.120186938322</v>
      </c>
      <c r="AD8" s="50">
        <f>Revenue!AD40</f>
        <v>103975.356112175</v>
      </c>
      <c r="AE8" s="50">
        <f>Revenue!AE40</f>
        <v>112353.12678731862</v>
      </c>
      <c r="AF8" s="50">
        <f>Revenue!AF40</f>
        <v>121418.66470360663</v>
      </c>
      <c r="AG8" s="50">
        <f>Revenue!AG40</f>
        <v>131229.26793859355</v>
      </c>
      <c r="AH8" s="50">
        <f>Revenue!AH40</f>
        <v>141796.73621030367</v>
      </c>
      <c r="AI8" s="50">
        <f>Revenue!AI40</f>
        <v>153251.70609869465</v>
      </c>
      <c r="AJ8" s="50">
        <f>Revenue!AJ40</f>
        <v>165664.06442201848</v>
      </c>
      <c r="AK8" s="50">
        <f>Revenue!AK40</f>
        <v>179047.16301899095</v>
      </c>
      <c r="AL8" s="50">
        <f>Revenue!AL40</f>
        <v>193475.21952655469</v>
      </c>
    </row>
    <row r="9" spans="1:38" x14ac:dyDescent="0.2">
      <c r="A9" s="40" t="s">
        <v>153</v>
      </c>
      <c r="B9" s="2" t="s">
        <v>57</v>
      </c>
      <c r="C9" s="50">
        <f>Costs!C23</f>
        <v>15.101000000000001</v>
      </c>
      <c r="D9" s="50">
        <f>Costs!D23</f>
        <v>36.877634999999998</v>
      </c>
      <c r="E9" s="50">
        <f>Costs!E23</f>
        <v>67.778635724999972</v>
      </c>
      <c r="F9" s="50">
        <f>Costs!F23</f>
        <v>201.93422876312499</v>
      </c>
      <c r="G9" s="50">
        <f>Costs!G23</f>
        <v>266.12138023482811</v>
      </c>
      <c r="H9" s="50">
        <f>Costs!H23</f>
        <v>326.16370015449422</v>
      </c>
      <c r="I9" s="50">
        <f>Costs!I23</f>
        <v>410.60590078508403</v>
      </c>
      <c r="J9" s="50">
        <f>Costs!J23</f>
        <v>508.77083569406363</v>
      </c>
      <c r="K9" s="50">
        <f>Costs!K23</f>
        <v>643.62142372522806</v>
      </c>
      <c r="L9" s="50">
        <f>Costs!L23</f>
        <v>797.79159406340409</v>
      </c>
      <c r="M9" s="50">
        <f>Costs!M23</f>
        <v>971.18865272767027</v>
      </c>
      <c r="N9" s="50">
        <f>Costs!N23</f>
        <v>1153.3952697168468</v>
      </c>
      <c r="O9" s="50">
        <f>Costs!O23</f>
        <v>1514.6885554031376</v>
      </c>
      <c r="P9" s="50">
        <f>Costs!P23</f>
        <v>1841.7296303688431</v>
      </c>
      <c r="Q9" s="50">
        <f>Costs!Q23</f>
        <v>2212.537247201833</v>
      </c>
      <c r="R9" s="50">
        <f>Costs!R23</f>
        <v>2686.8172278222451</v>
      </c>
      <c r="S9" s="50">
        <f>Costs!S23</f>
        <v>3235.22720408225</v>
      </c>
      <c r="T9" s="50">
        <f>Costs!T23</f>
        <v>3818.5655007456457</v>
      </c>
      <c r="U9" s="50">
        <f>Costs!U23</f>
        <v>4430.1876978932842</v>
      </c>
      <c r="V9" s="50">
        <f>Costs!V23</f>
        <v>4788.7571471088777</v>
      </c>
      <c r="W9" s="50">
        <f>Costs!W23</f>
        <v>5175.9761219685761</v>
      </c>
      <c r="X9" s="50">
        <f>Costs!X23</f>
        <v>5593.9762684343341</v>
      </c>
      <c r="Y9" s="50">
        <f>Costs!Y23</f>
        <v>6047.6552346729695</v>
      </c>
      <c r="Z9" s="50">
        <f>Costs!Z23</f>
        <v>6534.1980313538197</v>
      </c>
      <c r="AA9" s="50">
        <f>Costs!AA23</f>
        <v>7064.0725755865842</v>
      </c>
      <c r="AB9" s="50">
        <f>Costs!AB23</f>
        <v>7501.2150232907734</v>
      </c>
      <c r="AC9" s="50">
        <f>Costs!AC23</f>
        <v>7963.6332414350281</v>
      </c>
      <c r="AD9" s="50">
        <f>Costs!AD23</f>
        <v>8607.0440190287572</v>
      </c>
      <c r="AE9" s="50">
        <f>Costs!AE23</f>
        <v>9300.5752815976393</v>
      </c>
      <c r="AF9" s="50">
        <f>Costs!AF23</f>
        <v>10050.990004613319</v>
      </c>
      <c r="AG9" s="50">
        <f>Costs!AG23</f>
        <v>10862.404605236117</v>
      </c>
      <c r="AH9" s="50">
        <f>Costs!AH23</f>
        <v>11738.367696942996</v>
      </c>
      <c r="AI9" s="50">
        <f>Costs!AI23</f>
        <v>12686.328186030298</v>
      </c>
      <c r="AJ9" s="50">
        <f>Costs!AJ23</f>
        <v>13712.39709114439</v>
      </c>
      <c r="AK9" s="50">
        <f>Costs!AK23</f>
        <v>14819.338128448884</v>
      </c>
      <c r="AL9" s="50">
        <f>Costs!AL23</f>
        <v>16014.337925789483</v>
      </c>
    </row>
    <row r="10" spans="1:38" x14ac:dyDescent="0.2">
      <c r="A10" s="40" t="s">
        <v>154</v>
      </c>
      <c r="B10" s="2" t="s">
        <v>57</v>
      </c>
      <c r="C10" s="50">
        <f>C8-C9</f>
        <v>51.829000000000008</v>
      </c>
      <c r="D10" s="50">
        <f t="shared" ref="D10:AL10" si="0">D8-D9</f>
        <v>87.587914999999867</v>
      </c>
      <c r="E10" s="50">
        <f t="shared" si="0"/>
        <v>133.51336352499959</v>
      </c>
      <c r="F10" s="50">
        <f t="shared" si="0"/>
        <v>2035.6704703181247</v>
      </c>
      <c r="G10" s="50">
        <f t="shared" si="0"/>
        <v>2692.7578761397031</v>
      </c>
      <c r="H10" s="50">
        <f t="shared" si="0"/>
        <v>3280.9371589432499</v>
      </c>
      <c r="I10" s="50">
        <f t="shared" si="0"/>
        <v>4138.6237684140124</v>
      </c>
      <c r="J10" s="50">
        <f t="shared" si="0"/>
        <v>5132.941041517849</v>
      </c>
      <c r="K10" s="50">
        <f t="shared" si="0"/>
        <v>6464.7251258593669</v>
      </c>
      <c r="L10" s="50">
        <f t="shared" si="0"/>
        <v>8025.508429177723</v>
      </c>
      <c r="M10" s="50">
        <f t="shared" si="0"/>
        <v>9742.8273757427105</v>
      </c>
      <c r="N10" s="50">
        <f t="shared" si="0"/>
        <v>11570.357460903138</v>
      </c>
      <c r="O10" s="50">
        <f t="shared" si="0"/>
        <v>16783.204039606346</v>
      </c>
      <c r="P10" s="50">
        <f t="shared" si="0"/>
        <v>20412.508298517769</v>
      </c>
      <c r="Q10" s="50">
        <f t="shared" si="0"/>
        <v>24479.562715684264</v>
      </c>
      <c r="R10" s="50">
        <f t="shared" si="0"/>
        <v>29814.968226713223</v>
      </c>
      <c r="S10" s="50">
        <f t="shared" si="0"/>
        <v>35852.832977723687</v>
      </c>
      <c r="T10" s="50">
        <f t="shared" si="0"/>
        <v>42298.188399512248</v>
      </c>
      <c r="U10" s="50">
        <f t="shared" si="0"/>
        <v>49094.703514615685</v>
      </c>
      <c r="V10" s="50">
        <f t="shared" si="0"/>
        <v>53065.176679088807</v>
      </c>
      <c r="W10" s="50">
        <f t="shared" si="0"/>
        <v>57365.265570765798</v>
      </c>
      <c r="X10" s="50">
        <f t="shared" si="0"/>
        <v>61980.327152819176</v>
      </c>
      <c r="Y10" s="50">
        <f t="shared" si="0"/>
        <v>67040.517248449774</v>
      </c>
      <c r="Z10" s="50">
        <f t="shared" si="0"/>
        <v>72378.363936990499</v>
      </c>
      <c r="AA10" s="50">
        <f t="shared" si="0"/>
        <v>78284.988558484198</v>
      </c>
      <c r="AB10" s="50">
        <f t="shared" si="0"/>
        <v>83135.633863879557</v>
      </c>
      <c r="AC10" s="50">
        <f t="shared" si="0"/>
        <v>88242.486945503289</v>
      </c>
      <c r="AD10" s="50">
        <f t="shared" si="0"/>
        <v>95368.312093146233</v>
      </c>
      <c r="AE10" s="50">
        <f t="shared" si="0"/>
        <v>103052.55150572097</v>
      </c>
      <c r="AF10" s="50">
        <f t="shared" si="0"/>
        <v>111367.6746989933</v>
      </c>
      <c r="AG10" s="50">
        <f t="shared" si="0"/>
        <v>120366.86333335743</v>
      </c>
      <c r="AH10" s="50">
        <f t="shared" si="0"/>
        <v>130058.36851336068</v>
      </c>
      <c r="AI10" s="50">
        <f t="shared" si="0"/>
        <v>140565.37791266435</v>
      </c>
      <c r="AJ10" s="50">
        <f t="shared" si="0"/>
        <v>151951.66733087407</v>
      </c>
      <c r="AK10" s="50">
        <f t="shared" si="0"/>
        <v>164227.82489054208</v>
      </c>
      <c r="AL10" s="50">
        <f t="shared" si="0"/>
        <v>177460.88160076522</v>
      </c>
    </row>
    <row r="11" spans="1:38" x14ac:dyDescent="0.2">
      <c r="A11" s="40" t="s">
        <v>155</v>
      </c>
      <c r="B11" s="2" t="s">
        <v>21</v>
      </c>
      <c r="C11" s="45">
        <f>IFERROR(C10/C8,0)</f>
        <v>0.77437621395487832</v>
      </c>
      <c r="D11" s="45">
        <f t="shared" ref="D11:AL11" si="1">IFERROR(D10/D8,0)</f>
        <v>0.70371211150394597</v>
      </c>
      <c r="E11" s="45">
        <f t="shared" si="1"/>
        <v>0.66328201827425537</v>
      </c>
      <c r="F11" s="45">
        <f t="shared" si="1"/>
        <v>0.90975428821451876</v>
      </c>
      <c r="G11" s="45">
        <f t="shared" si="1"/>
        <v>0.91006007438069558</v>
      </c>
      <c r="H11" s="45">
        <f t="shared" si="1"/>
        <v>0.90957732736198604</v>
      </c>
      <c r="I11" s="45">
        <f t="shared" si="1"/>
        <v>0.90974166383264354</v>
      </c>
      <c r="J11" s="45">
        <f t="shared" si="1"/>
        <v>0.90981977691042704</v>
      </c>
      <c r="K11" s="45">
        <f t="shared" si="1"/>
        <v>0.90945553663772338</v>
      </c>
      <c r="L11" s="45">
        <f t="shared" si="1"/>
        <v>0.90958126869062927</v>
      </c>
      <c r="M11" s="45">
        <f t="shared" si="1"/>
        <v>0.90935344411031971</v>
      </c>
      <c r="N11" s="45">
        <f t="shared" si="1"/>
        <v>0.90935101505539517</v>
      </c>
      <c r="O11" s="45">
        <f t="shared" si="1"/>
        <v>0.91722060081300028</v>
      </c>
      <c r="P11" s="45">
        <f t="shared" si="1"/>
        <v>0.91724139751475264</v>
      </c>
      <c r="Q11" s="45">
        <f t="shared" si="1"/>
        <v>0.91710891049118493</v>
      </c>
      <c r="R11" s="45">
        <f t="shared" si="1"/>
        <v>0.91733324215124579</v>
      </c>
      <c r="S11" s="45">
        <f t="shared" si="1"/>
        <v>0.91723234181909774</v>
      </c>
      <c r="T11" s="45">
        <f t="shared" si="1"/>
        <v>0.91719786893491018</v>
      </c>
      <c r="U11" s="45">
        <f t="shared" si="1"/>
        <v>0.91723126198791916</v>
      </c>
      <c r="V11" s="45">
        <f t="shared" si="1"/>
        <v>0.91722676695598515</v>
      </c>
      <c r="W11" s="45">
        <f t="shared" si="1"/>
        <v>0.91723899331263381</v>
      </c>
      <c r="X11" s="45">
        <f t="shared" si="1"/>
        <v>0.91721740387670925</v>
      </c>
      <c r="Y11" s="45">
        <f t="shared" si="1"/>
        <v>0.91725535022688554</v>
      </c>
      <c r="Z11" s="45">
        <f t="shared" si="1"/>
        <v>0.91719698526611004</v>
      </c>
      <c r="AA11" s="45">
        <f t="shared" si="1"/>
        <v>0.91723315427582774</v>
      </c>
      <c r="AB11" s="45">
        <f t="shared" si="1"/>
        <v>0.91723879288181465</v>
      </c>
      <c r="AC11" s="45">
        <f t="shared" si="1"/>
        <v>0.91722321588313838</v>
      </c>
      <c r="AD11" s="45">
        <f t="shared" si="1"/>
        <v>0.91722034585057877</v>
      </c>
      <c r="AE11" s="45">
        <f t="shared" si="1"/>
        <v>0.91722014733774715</v>
      </c>
      <c r="AF11" s="45">
        <f t="shared" si="1"/>
        <v>0.9172203875808661</v>
      </c>
      <c r="AG11" s="45">
        <f t="shared" si="1"/>
        <v>0.91722574715330274</v>
      </c>
      <c r="AH11" s="45">
        <f t="shared" si="1"/>
        <v>0.91721694017319688</v>
      </c>
      <c r="AI11" s="45">
        <f t="shared" si="1"/>
        <v>0.9172190084601064</v>
      </c>
      <c r="AJ11" s="45">
        <f t="shared" si="1"/>
        <v>0.91722769123777526</v>
      </c>
      <c r="AK11" s="45">
        <f t="shared" si="1"/>
        <v>0.91723220922033244</v>
      </c>
      <c r="AL11" s="45">
        <f t="shared" si="1"/>
        <v>0.91722796353467129</v>
      </c>
    </row>
    <row r="12" spans="1:38" x14ac:dyDescent="0.2">
      <c r="A12" s="59" t="s">
        <v>388</v>
      </c>
      <c r="B12" s="60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</row>
    <row r="13" spans="1:38" x14ac:dyDescent="0.2">
      <c r="A13" s="40" t="s">
        <v>156</v>
      </c>
      <c r="B13" s="2" t="s">
        <v>57</v>
      </c>
      <c r="C13" s="50">
        <f>Costs!C40</f>
        <v>200</v>
      </c>
      <c r="D13" s="50">
        <f>Costs!D40</f>
        <v>200</v>
      </c>
      <c r="E13" s="50">
        <f>Costs!E40</f>
        <v>200</v>
      </c>
      <c r="F13" s="50">
        <f>Costs!F40</f>
        <v>200</v>
      </c>
      <c r="G13" s="50">
        <f>Costs!G40</f>
        <v>200</v>
      </c>
      <c r="H13" s="50">
        <f>Costs!H40</f>
        <v>200</v>
      </c>
      <c r="I13" s="50">
        <f>Costs!I40</f>
        <v>500</v>
      </c>
      <c r="J13" s="50">
        <f>Costs!J40</f>
        <v>500</v>
      </c>
      <c r="K13" s="50">
        <f>Costs!K40</f>
        <v>500</v>
      </c>
      <c r="L13" s="50">
        <f>Costs!L40</f>
        <v>500</v>
      </c>
      <c r="M13" s="50">
        <f>Costs!M40</f>
        <v>500</v>
      </c>
      <c r="N13" s="50">
        <f>Costs!N40</f>
        <v>500</v>
      </c>
      <c r="O13" s="50">
        <f>Costs!O40</f>
        <v>500</v>
      </c>
      <c r="P13" s="50">
        <f>Costs!P40</f>
        <v>500</v>
      </c>
      <c r="Q13" s="50">
        <f>Costs!Q40</f>
        <v>500</v>
      </c>
      <c r="R13" s="50">
        <f>Costs!R40</f>
        <v>500</v>
      </c>
      <c r="S13" s="50">
        <f>Costs!S40</f>
        <v>500</v>
      </c>
      <c r="T13" s="50">
        <f>Costs!T40</f>
        <v>500</v>
      </c>
      <c r="U13" s="50">
        <f>Costs!U40</f>
        <v>500</v>
      </c>
      <c r="V13" s="50">
        <f>Costs!V40</f>
        <v>500</v>
      </c>
      <c r="W13" s="50">
        <f>Costs!W40</f>
        <v>500</v>
      </c>
      <c r="X13" s="50">
        <f>Costs!X40</f>
        <v>500</v>
      </c>
      <c r="Y13" s="50">
        <f>Costs!Y40</f>
        <v>500</v>
      </c>
      <c r="Z13" s="50">
        <f>Costs!Z40</f>
        <v>500</v>
      </c>
      <c r="AA13" s="50">
        <f>Costs!AA40</f>
        <v>500</v>
      </c>
      <c r="AB13" s="50">
        <f>Costs!AB40</f>
        <v>500</v>
      </c>
      <c r="AC13" s="50">
        <f>Costs!AC40</f>
        <v>500</v>
      </c>
      <c r="AD13" s="50">
        <f>Costs!AD40</f>
        <v>500</v>
      </c>
      <c r="AE13" s="50">
        <f>Costs!AE40</f>
        <v>500</v>
      </c>
      <c r="AF13" s="50">
        <f>Costs!AF40</f>
        <v>500</v>
      </c>
      <c r="AG13" s="50">
        <f>Costs!AG40</f>
        <v>500</v>
      </c>
      <c r="AH13" s="50">
        <f>Costs!AH40</f>
        <v>500</v>
      </c>
      <c r="AI13" s="50">
        <f>Costs!AI40</f>
        <v>500</v>
      </c>
      <c r="AJ13" s="50">
        <f>Costs!AJ40</f>
        <v>500</v>
      </c>
      <c r="AK13" s="50">
        <f>Costs!AK40</f>
        <v>500</v>
      </c>
      <c r="AL13" s="50">
        <f>Costs!AL40</f>
        <v>500</v>
      </c>
    </row>
    <row r="14" spans="1:38" x14ac:dyDescent="0.2">
      <c r="A14" s="40" t="s">
        <v>50</v>
      </c>
      <c r="B14" s="2" t="s">
        <v>57</v>
      </c>
      <c r="C14" s="50">
        <f>Costs!C41</f>
        <v>300</v>
      </c>
      <c r="D14" s="50">
        <f>Costs!D41</f>
        <v>300</v>
      </c>
      <c r="E14" s="50">
        <f>Costs!E41</f>
        <v>300</v>
      </c>
      <c r="F14" s="50">
        <f>Costs!F41</f>
        <v>300</v>
      </c>
      <c r="G14" s="50">
        <f>Costs!G41</f>
        <v>300</v>
      </c>
      <c r="H14" s="50">
        <f>Costs!H41</f>
        <v>300</v>
      </c>
      <c r="I14" s="50">
        <f>Costs!I41</f>
        <v>300</v>
      </c>
      <c r="J14" s="50">
        <f>Costs!J41</f>
        <v>300</v>
      </c>
      <c r="K14" s="50">
        <f>Costs!K41</f>
        <v>300</v>
      </c>
      <c r="L14" s="50">
        <f>Costs!L41</f>
        <v>300</v>
      </c>
      <c r="M14" s="50">
        <f>Costs!M41</f>
        <v>300</v>
      </c>
      <c r="N14" s="50">
        <f>Costs!N41</f>
        <v>300</v>
      </c>
      <c r="O14" s="50">
        <f>Costs!O41</f>
        <v>300</v>
      </c>
      <c r="P14" s="50">
        <f>Costs!P41</f>
        <v>300</v>
      </c>
      <c r="Q14" s="50">
        <f>Costs!Q41</f>
        <v>300</v>
      </c>
      <c r="R14" s="50">
        <f>Costs!R41</f>
        <v>300</v>
      </c>
      <c r="S14" s="50">
        <f>Costs!S41</f>
        <v>300</v>
      </c>
      <c r="T14" s="50">
        <f>Costs!T41</f>
        <v>300</v>
      </c>
      <c r="U14" s="50">
        <f>Costs!U41</f>
        <v>300</v>
      </c>
      <c r="V14" s="50">
        <f>Costs!V41</f>
        <v>300</v>
      </c>
      <c r="W14" s="50">
        <f>Costs!W41</f>
        <v>300</v>
      </c>
      <c r="X14" s="50">
        <f>Costs!X41</f>
        <v>300</v>
      </c>
      <c r="Y14" s="50">
        <f>Costs!Y41</f>
        <v>300</v>
      </c>
      <c r="Z14" s="50">
        <f>Costs!Z41</f>
        <v>300</v>
      </c>
      <c r="AA14" s="50">
        <f>Costs!AA41</f>
        <v>300</v>
      </c>
      <c r="AB14" s="50">
        <f>Costs!AB41</f>
        <v>300</v>
      </c>
      <c r="AC14" s="50">
        <f>Costs!AC41</f>
        <v>300</v>
      </c>
      <c r="AD14" s="50">
        <f>Costs!AD41</f>
        <v>300</v>
      </c>
      <c r="AE14" s="50">
        <f>Costs!AE41</f>
        <v>300</v>
      </c>
      <c r="AF14" s="50">
        <f>Costs!AF41</f>
        <v>300</v>
      </c>
      <c r="AG14" s="50">
        <f>Costs!AG41</f>
        <v>300</v>
      </c>
      <c r="AH14" s="50">
        <f>Costs!AH41</f>
        <v>300</v>
      </c>
      <c r="AI14" s="50">
        <f>Costs!AI41</f>
        <v>300</v>
      </c>
      <c r="AJ14" s="50">
        <f>Costs!AJ41</f>
        <v>300</v>
      </c>
      <c r="AK14" s="50">
        <f>Costs!AK41</f>
        <v>300</v>
      </c>
      <c r="AL14" s="50">
        <f>Costs!AL41</f>
        <v>300</v>
      </c>
    </row>
    <row r="15" spans="1:38" x14ac:dyDescent="0.2">
      <c r="A15" s="40" t="s">
        <v>157</v>
      </c>
      <c r="B15" s="2" t="s">
        <v>57</v>
      </c>
      <c r="C15" s="50">
        <f>(Costs!C28+Costs!C29)*Assumptions!$B$86</f>
        <v>1650</v>
      </c>
      <c r="D15" s="50">
        <f>(Costs!D28+Costs!D29)*Assumptions!$B$86</f>
        <v>1650</v>
      </c>
      <c r="E15" s="50">
        <f>(Costs!E28+Costs!E29)*Assumptions!$B$86</f>
        <v>1650</v>
      </c>
      <c r="F15" s="50">
        <f>(Costs!F28+Costs!F29)*Assumptions!$B$86</f>
        <v>1650</v>
      </c>
      <c r="G15" s="50">
        <f>(Costs!G28+Costs!G29)*Assumptions!$B$86</f>
        <v>1650</v>
      </c>
      <c r="H15" s="50">
        <f>(Costs!H28+Costs!H29)*Assumptions!$B$86</f>
        <v>1650</v>
      </c>
      <c r="I15" s="50">
        <f>(Costs!I28+Costs!I29)*Assumptions!$B$86</f>
        <v>1650</v>
      </c>
      <c r="J15" s="50">
        <f>(Costs!J28+Costs!J29)*Assumptions!$B$86</f>
        <v>2850</v>
      </c>
      <c r="K15" s="50">
        <f>(Costs!K28+Costs!K29)*Assumptions!$B$86</f>
        <v>2850</v>
      </c>
      <c r="L15" s="50">
        <f>(Costs!L28+Costs!L29)*Assumptions!$B$86</f>
        <v>2850</v>
      </c>
      <c r="M15" s="50">
        <f>(Costs!M28+Costs!M29)*Assumptions!$B$86</f>
        <v>2850</v>
      </c>
      <c r="N15" s="50">
        <f>(Costs!N28+Costs!N29)*Assumptions!$B$86</f>
        <v>2850</v>
      </c>
      <c r="O15" s="50">
        <f>(Costs!O28+Costs!O29)*Assumptions!$B$86</f>
        <v>2850</v>
      </c>
      <c r="P15" s="50">
        <f>(Costs!P28+Costs!P29)*Assumptions!$B$86</f>
        <v>2850</v>
      </c>
      <c r="Q15" s="50">
        <f>(Costs!Q28+Costs!Q29)*Assumptions!$B$86</f>
        <v>2850</v>
      </c>
      <c r="R15" s="50">
        <f>(Costs!R28+Costs!R29)*Assumptions!$B$86</f>
        <v>2850</v>
      </c>
      <c r="S15" s="50">
        <f>(Costs!S28+Costs!S29)*Assumptions!$B$86</f>
        <v>2850</v>
      </c>
      <c r="T15" s="50">
        <f>(Costs!T28+Costs!T29)*Assumptions!$B$86</f>
        <v>2850</v>
      </c>
      <c r="U15" s="50">
        <f>(Costs!U28+Costs!U29)*Assumptions!$B$86</f>
        <v>2850</v>
      </c>
      <c r="V15" s="50">
        <f>(Costs!V28+Costs!V29)*Assumptions!$B$86</f>
        <v>2850</v>
      </c>
      <c r="W15" s="50">
        <f>(Costs!W28+Costs!W29)*Assumptions!$B$86</f>
        <v>2850</v>
      </c>
      <c r="X15" s="50">
        <f>(Costs!X28+Costs!X29)*Assumptions!$B$86</f>
        <v>2850</v>
      </c>
      <c r="Y15" s="50">
        <f>(Costs!Y28+Costs!Y29)*Assumptions!$B$86</f>
        <v>2850</v>
      </c>
      <c r="Z15" s="50">
        <f>(Costs!Z28+Costs!Z29)*Assumptions!$B$86</f>
        <v>2850</v>
      </c>
      <c r="AA15" s="50">
        <f>(Costs!AA28+Costs!AA29)*Assumptions!$B$86</f>
        <v>2850</v>
      </c>
      <c r="AB15" s="50">
        <f>(Costs!AB28+Costs!AB29)*Assumptions!$B$86</f>
        <v>2850</v>
      </c>
      <c r="AC15" s="50">
        <f>(Costs!AC28+Costs!AC29)*Assumptions!$B$86</f>
        <v>2850</v>
      </c>
      <c r="AD15" s="50">
        <f>(Costs!AD28+Costs!AD29)*Assumptions!$B$86</f>
        <v>2850</v>
      </c>
      <c r="AE15" s="50">
        <f>(Costs!AE28+Costs!AE29)*Assumptions!$B$86</f>
        <v>2850</v>
      </c>
      <c r="AF15" s="50">
        <f>(Costs!AF28+Costs!AF29)*Assumptions!$B$86</f>
        <v>2850</v>
      </c>
      <c r="AG15" s="50">
        <f>(Costs!AG28+Costs!AG29)*Assumptions!$B$86</f>
        <v>2850</v>
      </c>
      <c r="AH15" s="50">
        <f>(Costs!AH28+Costs!AH29)*Assumptions!$B$86</f>
        <v>2850</v>
      </c>
      <c r="AI15" s="50">
        <f>(Costs!AI28+Costs!AI29)*Assumptions!$B$86</f>
        <v>2850</v>
      </c>
      <c r="AJ15" s="50">
        <f>(Costs!AJ28+Costs!AJ29)*Assumptions!$B$86</f>
        <v>2850</v>
      </c>
      <c r="AK15" s="50">
        <f>(Costs!AK28+Costs!AK29)*Assumptions!$B$86</f>
        <v>2850</v>
      </c>
      <c r="AL15" s="50">
        <f>(Costs!AL28+Costs!AL29)*Assumptions!$B$86</f>
        <v>2850</v>
      </c>
    </row>
    <row r="16" spans="1:38" x14ac:dyDescent="0.2">
      <c r="A16" s="40" t="s">
        <v>158</v>
      </c>
      <c r="B16" s="2" t="s">
        <v>57</v>
      </c>
      <c r="C16" s="50">
        <f>C13+C14+C15</f>
        <v>2150</v>
      </c>
      <c r="D16" s="50">
        <f t="shared" ref="D16:AL16" si="2">D13+D14+D15</f>
        <v>2150</v>
      </c>
      <c r="E16" s="50">
        <f t="shared" si="2"/>
        <v>2150</v>
      </c>
      <c r="F16" s="50">
        <f t="shared" si="2"/>
        <v>2150</v>
      </c>
      <c r="G16" s="50">
        <f t="shared" si="2"/>
        <v>2150</v>
      </c>
      <c r="H16" s="50">
        <f t="shared" si="2"/>
        <v>2150</v>
      </c>
      <c r="I16" s="50">
        <f t="shared" si="2"/>
        <v>2450</v>
      </c>
      <c r="J16" s="50">
        <f t="shared" si="2"/>
        <v>3650</v>
      </c>
      <c r="K16" s="50">
        <f t="shared" si="2"/>
        <v>3650</v>
      </c>
      <c r="L16" s="50">
        <f t="shared" si="2"/>
        <v>3650</v>
      </c>
      <c r="M16" s="50">
        <f t="shared" si="2"/>
        <v>3650</v>
      </c>
      <c r="N16" s="50">
        <f t="shared" si="2"/>
        <v>3650</v>
      </c>
      <c r="O16" s="50">
        <f t="shared" si="2"/>
        <v>3650</v>
      </c>
      <c r="P16" s="50">
        <f t="shared" si="2"/>
        <v>3650</v>
      </c>
      <c r="Q16" s="50">
        <f t="shared" si="2"/>
        <v>3650</v>
      </c>
      <c r="R16" s="50">
        <f t="shared" si="2"/>
        <v>3650</v>
      </c>
      <c r="S16" s="50">
        <f t="shared" si="2"/>
        <v>3650</v>
      </c>
      <c r="T16" s="50">
        <f t="shared" si="2"/>
        <v>3650</v>
      </c>
      <c r="U16" s="50">
        <f t="shared" si="2"/>
        <v>3650</v>
      </c>
      <c r="V16" s="50">
        <f t="shared" si="2"/>
        <v>3650</v>
      </c>
      <c r="W16" s="50">
        <f t="shared" si="2"/>
        <v>3650</v>
      </c>
      <c r="X16" s="50">
        <f t="shared" si="2"/>
        <v>3650</v>
      </c>
      <c r="Y16" s="50">
        <f t="shared" si="2"/>
        <v>3650</v>
      </c>
      <c r="Z16" s="50">
        <f t="shared" si="2"/>
        <v>3650</v>
      </c>
      <c r="AA16" s="50">
        <f t="shared" si="2"/>
        <v>3650</v>
      </c>
      <c r="AB16" s="50">
        <f t="shared" si="2"/>
        <v>3650</v>
      </c>
      <c r="AC16" s="50">
        <f t="shared" si="2"/>
        <v>3650</v>
      </c>
      <c r="AD16" s="50">
        <f t="shared" si="2"/>
        <v>3650</v>
      </c>
      <c r="AE16" s="50">
        <f t="shared" si="2"/>
        <v>3650</v>
      </c>
      <c r="AF16" s="50">
        <f t="shared" si="2"/>
        <v>3650</v>
      </c>
      <c r="AG16" s="50">
        <f t="shared" si="2"/>
        <v>3650</v>
      </c>
      <c r="AH16" s="50">
        <f t="shared" si="2"/>
        <v>3650</v>
      </c>
      <c r="AI16" s="50">
        <f t="shared" si="2"/>
        <v>3650</v>
      </c>
      <c r="AJ16" s="50">
        <f t="shared" si="2"/>
        <v>3650</v>
      </c>
      <c r="AK16" s="50">
        <f t="shared" si="2"/>
        <v>3650</v>
      </c>
      <c r="AL16" s="50">
        <f t="shared" si="2"/>
        <v>3650</v>
      </c>
    </row>
    <row r="17" spans="1:38" x14ac:dyDescent="0.2">
      <c r="A17" s="40" t="s">
        <v>159</v>
      </c>
      <c r="B17" s="2"/>
      <c r="C17" s="50">
        <f>MAX(Revenue!C13*(1-Assumptions!C29),0)</f>
        <v>1.2000000000000002</v>
      </c>
      <c r="D17" s="50">
        <f>MAX(Revenue!D13*(1-Assumptions!D29),0)</f>
        <v>1.8000000000000003</v>
      </c>
      <c r="E17" s="50">
        <f>MAX(Revenue!E13*(1-Assumptions!E29),0)</f>
        <v>2.5500000000000003</v>
      </c>
      <c r="F17" s="50">
        <f>MAX(Revenue!F13*(1-Assumptions!F29),0)</f>
        <v>30.175204212499995</v>
      </c>
      <c r="G17" s="50">
        <f>MAX(Revenue!G13*(1-Assumptions!G29),0)</f>
        <v>17.478375160312499</v>
      </c>
      <c r="H17" s="50">
        <f>MAX(Revenue!H13*(1-Assumptions!H29),0)</f>
        <v>16.151070635675389</v>
      </c>
      <c r="I17" s="50">
        <f>MAX(Revenue!I13*(1-Assumptions!I29),0)</f>
        <v>20.216543179511191</v>
      </c>
      <c r="J17" s="50">
        <f>MAX(Revenue!J13*(1-Assumptions!J29),0)</f>
        <v>23.166689709701153</v>
      </c>
      <c r="K17" s="50">
        <f>MAX(Revenue!K13*(1-Assumptions!K29),0)</f>
        <v>33.204175834554185</v>
      </c>
      <c r="L17" s="50">
        <f>MAX(Revenue!L13*(1-Assumptions!L29),0)</f>
        <v>36.352865397328877</v>
      </c>
      <c r="M17" s="50">
        <f>MAX(Revenue!M13*(1-Assumptions!M29),0)</f>
        <v>39.980510111727867</v>
      </c>
      <c r="N17" s="50">
        <f>MAX(Revenue!N13*(1-Assumptions!N29),0)</f>
        <v>39.637687398179978</v>
      </c>
      <c r="O17" s="50">
        <f>MAX(Revenue!O13*(1-Assumptions!O29),0)</f>
        <v>63.498748669774514</v>
      </c>
      <c r="P17" s="50">
        <f>MAX(Revenue!P13*(1-Assumptions!P29),0)</f>
        <v>74.921717120473787</v>
      </c>
      <c r="Q17" s="50">
        <f>MAX(Revenue!Q13*(1-Assumptions!Q29),0)</f>
        <v>83.955853472580372</v>
      </c>
      <c r="R17" s="50">
        <f>MAX(Revenue!R13*(1-Assumptions!R29),0)</f>
        <v>94.167670503910955</v>
      </c>
      <c r="S17" s="50">
        <f>MAX(Revenue!S13*(1-Assumptions!S29),0)</f>
        <v>107.19014636729092</v>
      </c>
      <c r="T17" s="50">
        <f>MAX(Revenue!T13*(1-Assumptions!T29),0)</f>
        <v>103.94452740494165</v>
      </c>
      <c r="U17" s="50">
        <f>MAX(Revenue!U13*(1-Assumptions!U29),0)</f>
        <v>96.853241430306795</v>
      </c>
      <c r="V17" s="50">
        <f>MAX(Revenue!V13*(1-Assumptions!V29),0)</f>
        <v>0</v>
      </c>
      <c r="W17" s="50">
        <f>MAX(Revenue!W13*(1-Assumptions!W29),0)</f>
        <v>0</v>
      </c>
      <c r="X17" s="50">
        <f>MAX(Revenue!X13*(1-Assumptions!X29),0)</f>
        <v>0</v>
      </c>
      <c r="Y17" s="50">
        <f>MAX(Revenue!Y13*(1-Assumptions!Y29),0)</f>
        <v>0</v>
      </c>
      <c r="Z17" s="50">
        <f>MAX(Revenue!Z13*(1-Assumptions!Z29),0)</f>
        <v>0</v>
      </c>
      <c r="AA17" s="50">
        <f>MAX(Revenue!AA13*(1-Assumptions!AA29),0)</f>
        <v>0</v>
      </c>
      <c r="AB17" s="50">
        <f>MAX(Revenue!AB13*(1-Assumptions!AB29),0)</f>
        <v>0</v>
      </c>
      <c r="AC17" s="50">
        <f>MAX(Revenue!AC13*(1-Assumptions!AC29),0)</f>
        <v>0</v>
      </c>
      <c r="AD17" s="50">
        <f>MAX(Revenue!AD13*(1-Assumptions!AD29),0)</f>
        <v>0</v>
      </c>
      <c r="AE17" s="50">
        <f>MAX(Revenue!AE13*(1-Assumptions!AE29),0)</f>
        <v>0</v>
      </c>
      <c r="AF17" s="50">
        <f>MAX(Revenue!AF13*(1-Assumptions!AF29),0)</f>
        <v>0</v>
      </c>
      <c r="AG17" s="50">
        <f>MAX(Revenue!AG13*(1-Assumptions!AG29),0)</f>
        <v>0</v>
      </c>
      <c r="AH17" s="50">
        <f>MAX(Revenue!AH13*(1-Assumptions!AH29),0)</f>
        <v>0</v>
      </c>
      <c r="AI17" s="50">
        <f>MAX(Revenue!AI13*(1-Assumptions!AI29),0)</f>
        <v>0</v>
      </c>
      <c r="AJ17" s="50">
        <f>MAX(Revenue!AJ13*(1-Assumptions!AJ29),0)</f>
        <v>0</v>
      </c>
      <c r="AK17" s="50">
        <f>MAX(Revenue!AK13*(1-Assumptions!AK29),0)</f>
        <v>0</v>
      </c>
      <c r="AL17" s="50">
        <f>MAX(Revenue!AL13*(1-Assumptions!AL29),0)</f>
        <v>0</v>
      </c>
    </row>
    <row r="18" spans="1:38" x14ac:dyDescent="0.2">
      <c r="A18" s="40" t="s">
        <v>160</v>
      </c>
      <c r="B18" s="2" t="s">
        <v>57</v>
      </c>
      <c r="C18" s="50">
        <f>IFERROR(C16/C17,0)</f>
        <v>1791.6666666666665</v>
      </c>
      <c r="D18" s="50">
        <f t="shared" ref="D18:AL18" si="3">IFERROR(D16/D17,0)</f>
        <v>1194.4444444444443</v>
      </c>
      <c r="E18" s="50">
        <f t="shared" si="3"/>
        <v>843.13725490196066</v>
      </c>
      <c r="F18" s="50">
        <f t="shared" si="3"/>
        <v>71.250553429871019</v>
      </c>
      <c r="G18" s="50">
        <f t="shared" si="3"/>
        <v>123.00914588913994</v>
      </c>
      <c r="H18" s="50">
        <f t="shared" si="3"/>
        <v>133.11811015493672</v>
      </c>
      <c r="I18" s="50">
        <f t="shared" si="3"/>
        <v>121.18787956207049</v>
      </c>
      <c r="J18" s="50">
        <f t="shared" si="3"/>
        <v>157.55380012154029</v>
      </c>
      <c r="K18" s="50">
        <f t="shared" si="3"/>
        <v>109.925932755771</v>
      </c>
      <c r="L18" s="50">
        <f t="shared" si="3"/>
        <v>100.40474004198286</v>
      </c>
      <c r="M18" s="50">
        <f t="shared" si="3"/>
        <v>91.294482981829447</v>
      </c>
      <c r="N18" s="50">
        <f t="shared" si="3"/>
        <v>92.08408057044204</v>
      </c>
      <c r="O18" s="50">
        <f t="shared" si="3"/>
        <v>57.481447689336981</v>
      </c>
      <c r="P18" s="50">
        <f t="shared" si="3"/>
        <v>48.717516633138779</v>
      </c>
      <c r="Q18" s="50">
        <f t="shared" si="3"/>
        <v>43.475229528719815</v>
      </c>
      <c r="R18" s="50">
        <f t="shared" si="3"/>
        <v>38.760648749916868</v>
      </c>
      <c r="S18" s="50">
        <f t="shared" si="3"/>
        <v>34.051637428436216</v>
      </c>
      <c r="T18" s="50">
        <f t="shared" si="3"/>
        <v>35.114883785853593</v>
      </c>
      <c r="U18" s="50">
        <f t="shared" si="3"/>
        <v>37.685883777327682</v>
      </c>
      <c r="V18" s="50">
        <f t="shared" si="3"/>
        <v>0</v>
      </c>
      <c r="W18" s="50">
        <f t="shared" si="3"/>
        <v>0</v>
      </c>
      <c r="X18" s="50">
        <f t="shared" si="3"/>
        <v>0</v>
      </c>
      <c r="Y18" s="50">
        <f t="shared" si="3"/>
        <v>0</v>
      </c>
      <c r="Z18" s="50">
        <f t="shared" si="3"/>
        <v>0</v>
      </c>
      <c r="AA18" s="50">
        <f t="shared" si="3"/>
        <v>0</v>
      </c>
      <c r="AB18" s="50">
        <f t="shared" si="3"/>
        <v>0</v>
      </c>
      <c r="AC18" s="50">
        <f t="shared" si="3"/>
        <v>0</v>
      </c>
      <c r="AD18" s="50">
        <f t="shared" si="3"/>
        <v>0</v>
      </c>
      <c r="AE18" s="50">
        <f t="shared" si="3"/>
        <v>0</v>
      </c>
      <c r="AF18" s="50">
        <f t="shared" si="3"/>
        <v>0</v>
      </c>
      <c r="AG18" s="50">
        <f t="shared" si="3"/>
        <v>0</v>
      </c>
      <c r="AH18" s="50">
        <f t="shared" si="3"/>
        <v>0</v>
      </c>
      <c r="AI18" s="50">
        <f t="shared" si="3"/>
        <v>0</v>
      </c>
      <c r="AJ18" s="50">
        <f t="shared" si="3"/>
        <v>0</v>
      </c>
      <c r="AK18" s="50">
        <f t="shared" si="3"/>
        <v>0</v>
      </c>
      <c r="AL18" s="50">
        <f t="shared" si="3"/>
        <v>0</v>
      </c>
    </row>
    <row r="19" spans="1:38" x14ac:dyDescent="0.2">
      <c r="A19" s="59" t="s">
        <v>389</v>
      </c>
      <c r="B19" s="60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</row>
    <row r="20" spans="1:38" x14ac:dyDescent="0.2">
      <c r="A20" s="40" t="s">
        <v>161</v>
      </c>
      <c r="B20" s="2" t="s">
        <v>57</v>
      </c>
      <c r="C20" s="50">
        <f>Revenue!C46</f>
        <v>69</v>
      </c>
      <c r="D20" s="50">
        <f>Revenue!D46</f>
        <v>40.929824561403485</v>
      </c>
      <c r="E20" s="50">
        <f>Revenue!E46</f>
        <v>37.335214929226467</v>
      </c>
      <c r="F20" s="50">
        <f>Revenue!F46</f>
        <v>37.321676068084976</v>
      </c>
      <c r="G20" s="50">
        <f>Revenue!G46</f>
        <v>37.32926264871044</v>
      </c>
      <c r="H20" s="50">
        <f>Revenue!H46</f>
        <v>37.280290113557633</v>
      </c>
      <c r="I20" s="50">
        <f>Revenue!I46</f>
        <v>37.221957200581365</v>
      </c>
      <c r="J20" s="50">
        <f>Revenue!J46</f>
        <v>37.220393839123417</v>
      </c>
      <c r="K20" s="50">
        <f>Revenue!K46</f>
        <v>37.119228548169573</v>
      </c>
      <c r="L20" s="50">
        <f>Revenue!L46</f>
        <v>37.151054272329731</v>
      </c>
      <c r="M20" s="50">
        <f>Revenue!M46</f>
        <v>37.073359317214219</v>
      </c>
      <c r="N20" s="50">
        <f>Revenue!N46</f>
        <v>37.076795157979738</v>
      </c>
      <c r="O20" s="50">
        <f>Revenue!O46</f>
        <v>38.703840224531504</v>
      </c>
      <c r="P20" s="50">
        <f>Revenue!P46</f>
        <v>38.685570900976749</v>
      </c>
      <c r="Q20" s="50">
        <f>Revenue!Q46</f>
        <v>38.621917832836495</v>
      </c>
      <c r="R20" s="50">
        <f>Revenue!R46</f>
        <v>38.745502140504335</v>
      </c>
      <c r="S20" s="50">
        <f>Revenue!S46</f>
        <v>38.695874586860675</v>
      </c>
      <c r="T20" s="50">
        <f>Revenue!T46</f>
        <v>38.67245538052682</v>
      </c>
      <c r="U20" s="50">
        <f>Revenue!U46</f>
        <v>38.687880792129008</v>
      </c>
      <c r="V20" s="50">
        <f>Revenue!V46</f>
        <v>38.683053339174322</v>
      </c>
      <c r="W20" s="50">
        <f>Revenue!W46</f>
        <v>38.700950463058057</v>
      </c>
      <c r="X20" s="50">
        <f>Revenue!X46</f>
        <v>38.68296810736998</v>
      </c>
      <c r="Y20" s="50">
        <f>Revenue!Y46</f>
        <v>38.699392102279262</v>
      </c>
      <c r="Z20" s="50">
        <f>Revenue!Z46</f>
        <v>38.668304449482982</v>
      </c>
      <c r="AA20" s="50">
        <f>Revenue!AA46</f>
        <v>38.695164405535678</v>
      </c>
      <c r="AB20" s="50">
        <f>Revenue!AB46</f>
        <v>38.693610405435606</v>
      </c>
      <c r="AC20" s="50">
        <f>Revenue!AC46</f>
        <v>38.684202406983481</v>
      </c>
      <c r="AD20" s="50">
        <f>Revenue!AD46</f>
        <v>38.683160954767907</v>
      </c>
      <c r="AE20" s="50">
        <f>Revenue!AE46</f>
        <v>38.685578154226221</v>
      </c>
      <c r="AF20" s="50">
        <f>Revenue!AF46</f>
        <v>38.678225181301194</v>
      </c>
      <c r="AG20" s="50">
        <f>Revenue!AG46</f>
        <v>38.684778342945222</v>
      </c>
      <c r="AH20" s="50">
        <f>Revenue!AH46</f>
        <v>38.679628691593379</v>
      </c>
      <c r="AI20" s="50">
        <f>Revenue!AI46</f>
        <v>38.680601605875971</v>
      </c>
      <c r="AJ20" s="50">
        <f>Revenue!AJ46</f>
        <v>38.684183311484155</v>
      </c>
      <c r="AK20" s="50">
        <f>Revenue!AK46</f>
        <v>38.689396960478426</v>
      </c>
      <c r="AL20" s="50">
        <f>Revenue!AL46</f>
        <v>38.684723546933668</v>
      </c>
    </row>
    <row r="21" spans="1:38" x14ac:dyDescent="0.2">
      <c r="A21" s="40" t="s">
        <v>27</v>
      </c>
      <c r="B21" s="2" t="s">
        <v>21</v>
      </c>
      <c r="C21" s="45">
        <f>Revenue!C19</f>
        <v>0.1</v>
      </c>
      <c r="D21" s="45">
        <f>Revenue!D19</f>
        <v>0.12</v>
      </c>
      <c r="E21" s="45">
        <f>Revenue!E19</f>
        <v>0.12</v>
      </c>
      <c r="F21" s="45">
        <f>Revenue!F19</f>
        <v>0.1</v>
      </c>
      <c r="G21" s="45">
        <f>Revenue!G19</f>
        <v>0.1</v>
      </c>
      <c r="H21" s="45">
        <f>Revenue!H19</f>
        <v>0.1</v>
      </c>
      <c r="I21" s="45">
        <f>Revenue!I19</f>
        <v>7.0000000000000007E-2</v>
      </c>
      <c r="J21" s="45">
        <f>Revenue!J19</f>
        <v>7.0000000000000007E-2</v>
      </c>
      <c r="K21" s="45">
        <f>Revenue!K19</f>
        <v>7.0000000000000007E-2</v>
      </c>
      <c r="L21" s="45">
        <f>Revenue!L19</f>
        <v>7.0000000000000007E-2</v>
      </c>
      <c r="M21" s="45">
        <f>Revenue!M19</f>
        <v>7.0000000000000007E-2</v>
      </c>
      <c r="N21" s="45">
        <f>Revenue!N19</f>
        <v>7.0000000000000007E-2</v>
      </c>
      <c r="O21" s="45">
        <f>Revenue!O19</f>
        <v>0.05</v>
      </c>
      <c r="P21" s="45">
        <f>Revenue!P19</f>
        <v>7.0000000000000007E-2</v>
      </c>
      <c r="Q21" s="45">
        <f>Revenue!Q19</f>
        <v>7.0000000000000007E-2</v>
      </c>
      <c r="R21" s="45">
        <f>Revenue!R19</f>
        <v>0.05</v>
      </c>
      <c r="S21" s="45">
        <f>Revenue!S19</f>
        <v>0.05</v>
      </c>
      <c r="T21" s="45">
        <f>Revenue!T19</f>
        <v>0.05</v>
      </c>
      <c r="U21" s="45">
        <f>Revenue!U19</f>
        <v>0.05</v>
      </c>
      <c r="V21" s="45">
        <f>Revenue!V19</f>
        <v>0.05</v>
      </c>
      <c r="W21" s="45">
        <f>Revenue!W19</f>
        <v>0.05</v>
      </c>
      <c r="X21" s="45">
        <f>Revenue!X19</f>
        <v>0.05</v>
      </c>
      <c r="Y21" s="45">
        <f>Revenue!Y19</f>
        <v>0.05</v>
      </c>
      <c r="Z21" s="45">
        <f>Revenue!Z19</f>
        <v>0.05</v>
      </c>
      <c r="AA21" s="45">
        <f>Revenue!AA19</f>
        <v>0.05</v>
      </c>
      <c r="AB21" s="45">
        <f>Revenue!AB19</f>
        <v>7.0000000000000007E-2</v>
      </c>
      <c r="AC21" s="45">
        <f>Revenue!AC19</f>
        <v>7.0000000000000007E-2</v>
      </c>
      <c r="AD21" s="45">
        <f>Revenue!AD19</f>
        <v>0.05</v>
      </c>
      <c r="AE21" s="45">
        <f>Revenue!AE19</f>
        <v>0.05</v>
      </c>
      <c r="AF21" s="45">
        <f>Revenue!AF19</f>
        <v>0.05</v>
      </c>
      <c r="AG21" s="45">
        <f>Revenue!AG19</f>
        <v>0.05</v>
      </c>
      <c r="AH21" s="45">
        <f>Revenue!AH19</f>
        <v>0.05</v>
      </c>
      <c r="AI21" s="45">
        <f>Revenue!AI19</f>
        <v>0.05</v>
      </c>
      <c r="AJ21" s="45">
        <f>Revenue!AJ19</f>
        <v>0.05</v>
      </c>
      <c r="AK21" s="45">
        <f>Revenue!AK19</f>
        <v>0.05</v>
      </c>
      <c r="AL21" s="45">
        <f>Revenue!AL19</f>
        <v>0.05</v>
      </c>
    </row>
    <row r="22" spans="1:38" x14ac:dyDescent="0.2">
      <c r="A22" s="40" t="s">
        <v>162</v>
      </c>
      <c r="B22" s="2" t="s">
        <v>57</v>
      </c>
      <c r="C22" s="50">
        <f>IFERROR(C20/C21,0)</f>
        <v>690</v>
      </c>
      <c r="D22" s="50">
        <f t="shared" ref="D22:AL22" si="4">IFERROR(D20/D21,0)</f>
        <v>341.08187134502907</v>
      </c>
      <c r="E22" s="50">
        <f t="shared" si="4"/>
        <v>311.12679107688723</v>
      </c>
      <c r="F22" s="50">
        <f t="shared" si="4"/>
        <v>373.21676068084975</v>
      </c>
      <c r="G22" s="50">
        <f t="shared" si="4"/>
        <v>373.29262648710437</v>
      </c>
      <c r="H22" s="50">
        <f t="shared" si="4"/>
        <v>372.80290113557629</v>
      </c>
      <c r="I22" s="50">
        <f t="shared" si="4"/>
        <v>531.74224572259084</v>
      </c>
      <c r="J22" s="50">
        <f t="shared" si="4"/>
        <v>531.7199119874773</v>
      </c>
      <c r="K22" s="50">
        <f t="shared" si="4"/>
        <v>530.27469354527955</v>
      </c>
      <c r="L22" s="50">
        <f t="shared" si="4"/>
        <v>530.72934674756755</v>
      </c>
      <c r="M22" s="50">
        <f t="shared" si="4"/>
        <v>529.61941881734595</v>
      </c>
      <c r="N22" s="50">
        <f t="shared" si="4"/>
        <v>529.66850225685334</v>
      </c>
      <c r="O22" s="50">
        <f t="shared" si="4"/>
        <v>774.07680449063002</v>
      </c>
      <c r="P22" s="50">
        <f t="shared" si="4"/>
        <v>552.65101287109633</v>
      </c>
      <c r="Q22" s="50">
        <f t="shared" si="4"/>
        <v>551.7416833262356</v>
      </c>
      <c r="R22" s="50">
        <f t="shared" si="4"/>
        <v>774.91004281008668</v>
      </c>
      <c r="S22" s="50">
        <f t="shared" si="4"/>
        <v>773.91749173721348</v>
      </c>
      <c r="T22" s="50">
        <f t="shared" si="4"/>
        <v>773.44910761053632</v>
      </c>
      <c r="U22" s="50">
        <f t="shared" si="4"/>
        <v>773.75761584258009</v>
      </c>
      <c r="V22" s="50">
        <f t="shared" si="4"/>
        <v>773.66106678348638</v>
      </c>
      <c r="W22" s="50">
        <f t="shared" si="4"/>
        <v>774.01900926116105</v>
      </c>
      <c r="X22" s="50">
        <f t="shared" si="4"/>
        <v>773.65936214739952</v>
      </c>
      <c r="Y22" s="50">
        <f t="shared" si="4"/>
        <v>773.98784204558524</v>
      </c>
      <c r="Z22" s="50">
        <f t="shared" si="4"/>
        <v>773.3660889896596</v>
      </c>
      <c r="AA22" s="50">
        <f t="shared" si="4"/>
        <v>773.90328811071356</v>
      </c>
      <c r="AB22" s="50">
        <f t="shared" si="4"/>
        <v>552.76586293479431</v>
      </c>
      <c r="AC22" s="50">
        <f t="shared" si="4"/>
        <v>552.63146295690683</v>
      </c>
      <c r="AD22" s="50">
        <f t="shared" si="4"/>
        <v>773.66321909535804</v>
      </c>
      <c r="AE22" s="50">
        <f t="shared" si="4"/>
        <v>773.71156308452441</v>
      </c>
      <c r="AF22" s="50">
        <f t="shared" si="4"/>
        <v>773.56450362602379</v>
      </c>
      <c r="AG22" s="50">
        <f t="shared" si="4"/>
        <v>773.69556685890439</v>
      </c>
      <c r="AH22" s="50">
        <f t="shared" si="4"/>
        <v>773.59257383186753</v>
      </c>
      <c r="AI22" s="50">
        <f t="shared" si="4"/>
        <v>773.61203211751933</v>
      </c>
      <c r="AJ22" s="50">
        <f t="shared" si="4"/>
        <v>773.68366622968301</v>
      </c>
      <c r="AK22" s="50">
        <f t="shared" si="4"/>
        <v>773.78793920956844</v>
      </c>
      <c r="AL22" s="50">
        <f t="shared" si="4"/>
        <v>773.69447093867336</v>
      </c>
    </row>
    <row r="23" spans="1:38" x14ac:dyDescent="0.2">
      <c r="A23" s="40" t="s">
        <v>163</v>
      </c>
      <c r="B23" s="2"/>
      <c r="C23" s="54">
        <f>IFERROR(C22/C18,0)</f>
        <v>0.38511627906976748</v>
      </c>
      <c r="D23" s="54">
        <f t="shared" ref="D23:AL23" si="5">IFERROR(D22/D18,0)</f>
        <v>0.28555691554467555</v>
      </c>
      <c r="E23" s="54">
        <f t="shared" si="5"/>
        <v>0.36901084523072675</v>
      </c>
      <c r="F23" s="54">
        <f t="shared" si="5"/>
        <v>5.2380892879406415</v>
      </c>
      <c r="G23" s="54">
        <f t="shared" si="5"/>
        <v>3.0346737536372173</v>
      </c>
      <c r="H23" s="54">
        <f t="shared" si="5"/>
        <v>2.8005423206629771</v>
      </c>
      <c r="I23" s="54">
        <f t="shared" si="5"/>
        <v>4.3877510493963294</v>
      </c>
      <c r="J23" s="54">
        <f t="shared" si="5"/>
        <v>3.3748466338310941</v>
      </c>
      <c r="K23" s="54">
        <f t="shared" si="5"/>
        <v>4.8239271685183009</v>
      </c>
      <c r="L23" s="54">
        <f t="shared" si="5"/>
        <v>5.2858993163634542</v>
      </c>
      <c r="M23" s="54">
        <f t="shared" si="5"/>
        <v>5.8012204190121466</v>
      </c>
      <c r="N23" s="54">
        <f t="shared" si="5"/>
        <v>5.7520094567450242</v>
      </c>
      <c r="O23" s="54">
        <f t="shared" si="5"/>
        <v>13.466550262863754</v>
      </c>
      <c r="P23" s="54">
        <f t="shared" si="5"/>
        <v>11.343989822649752</v>
      </c>
      <c r="Q23" s="54">
        <f t="shared" si="5"/>
        <v>12.690943539740349</v>
      </c>
      <c r="R23" s="54">
        <f>IFERROR(R22/R18,0)</f>
        <v>19.99218454287994</v>
      </c>
      <c r="S23" s="54">
        <f t="shared" si="5"/>
        <v>22.727761428909201</v>
      </c>
      <c r="T23" s="54">
        <f t="shared" si="5"/>
        <v>22.026247112972893</v>
      </c>
      <c r="U23" s="54">
        <f t="shared" si="5"/>
        <v>20.531762513901366</v>
      </c>
      <c r="V23" s="54">
        <f t="shared" si="5"/>
        <v>0</v>
      </c>
      <c r="W23" s="54">
        <f t="shared" si="5"/>
        <v>0</v>
      </c>
      <c r="X23" s="54">
        <f t="shared" si="5"/>
        <v>0</v>
      </c>
      <c r="Y23" s="54">
        <f t="shared" si="5"/>
        <v>0</v>
      </c>
      <c r="Z23" s="54">
        <f t="shared" si="5"/>
        <v>0</v>
      </c>
      <c r="AA23" s="54">
        <f t="shared" si="5"/>
        <v>0</v>
      </c>
      <c r="AB23" s="54">
        <f t="shared" si="5"/>
        <v>0</v>
      </c>
      <c r="AC23" s="54">
        <f t="shared" si="5"/>
        <v>0</v>
      </c>
      <c r="AD23" s="54">
        <f t="shared" si="5"/>
        <v>0</v>
      </c>
      <c r="AE23" s="54">
        <f t="shared" si="5"/>
        <v>0</v>
      </c>
      <c r="AF23" s="54">
        <f t="shared" si="5"/>
        <v>0</v>
      </c>
      <c r="AG23" s="54">
        <f t="shared" si="5"/>
        <v>0</v>
      </c>
      <c r="AH23" s="54">
        <f t="shared" si="5"/>
        <v>0</v>
      </c>
      <c r="AI23" s="54">
        <f t="shared" si="5"/>
        <v>0</v>
      </c>
      <c r="AJ23" s="54">
        <f t="shared" si="5"/>
        <v>0</v>
      </c>
      <c r="AK23" s="54">
        <f t="shared" si="5"/>
        <v>0</v>
      </c>
      <c r="AL23" s="54">
        <f t="shared" si="5"/>
        <v>0</v>
      </c>
    </row>
    <row r="24" spans="1:38" x14ac:dyDescent="0.2">
      <c r="A24" s="59" t="s">
        <v>377</v>
      </c>
      <c r="B24" s="60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</row>
    <row r="25" spans="1:38" x14ac:dyDescent="0.2">
      <c r="A25" s="40" t="s">
        <v>164</v>
      </c>
      <c r="B25" s="7">
        <f>AVERAGE(C11:N11)</f>
        <v>0.86067206157728471</v>
      </c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</row>
    <row r="26" spans="1:38" x14ac:dyDescent="0.2">
      <c r="A26" s="40" t="s">
        <v>165</v>
      </c>
      <c r="B26" s="7">
        <f>AVERAGE(O11:Z11)</f>
        <v>0.91722509361253612</v>
      </c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</row>
    <row r="27" spans="1:38" x14ac:dyDescent="0.2">
      <c r="A27" s="40" t="s">
        <v>166</v>
      </c>
      <c r="B27" s="7">
        <f>AVERAGE(AA11:AL11)</f>
        <v>0.91722546696577967</v>
      </c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</row>
    <row r="28" spans="1:38" x14ac:dyDescent="0.2">
      <c r="A28" s="40" t="s">
        <v>167</v>
      </c>
      <c r="B28" s="4">
        <f>IFERROR(SUM(C16:N16)/SUM(C17:N17),0)</f>
        <v>128.28681430573201</v>
      </c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</row>
    <row r="29" spans="1:38" x14ac:dyDescent="0.2">
      <c r="A29" s="40" t="s">
        <v>168</v>
      </c>
      <c r="B29" s="11">
        <f>AL23</f>
        <v>0</v>
      </c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</row>
    <row r="30" spans="1:38" x14ac:dyDescent="0.2">
      <c r="A30" s="40" t="s">
        <v>169</v>
      </c>
      <c r="B30" s="9">
        <f>AL20</f>
        <v>38.684723546933668</v>
      </c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</row>
  </sheetData>
  <conditionalFormatting sqref="C11:AL11">
    <cfRule type="expression" dxfId="33" priority="1">
      <formula>C11&gt;0.6</formula>
    </cfRule>
  </conditionalFormatting>
  <conditionalFormatting sqref="C11:AL11">
    <cfRule type="expression" dxfId="32" priority="2">
      <formula>AND(C11&gt;=0.4,C11&lt;=0.6)</formula>
    </cfRule>
  </conditionalFormatting>
  <conditionalFormatting sqref="C11:AL11">
    <cfRule type="expression" dxfId="31" priority="3">
      <formula>AND(C11&lt;0.4,C11&lt;&gt;0)</formula>
    </cfRule>
  </conditionalFormatting>
  <conditionalFormatting sqref="C23:AL23">
    <cfRule type="expression" dxfId="30" priority="4">
      <formula>C23&gt;3</formula>
    </cfRule>
  </conditionalFormatting>
  <conditionalFormatting sqref="C23:AL23">
    <cfRule type="expression" dxfId="29" priority="5">
      <formula>AND(C23&gt;=1,C23&lt;=3)</formula>
    </cfRule>
  </conditionalFormatting>
  <conditionalFormatting sqref="C23:AL23">
    <cfRule type="expression" dxfId="28" priority="6">
      <formula>AND(C23&lt;1,C23&lt;&gt;0)</formula>
    </cfRule>
  </conditionalFormatting>
  <conditionalFormatting sqref="C18:AL18">
    <cfRule type="expression" dxfId="27" priority="7">
      <formula>AND(C18&lt;50,C18&gt;0)</formula>
    </cfRule>
  </conditionalFormatting>
  <conditionalFormatting sqref="C18:AL18">
    <cfRule type="expression" dxfId="26" priority="8">
      <formula>AND(C18&gt;=50,C18&lt;=100)</formula>
    </cfRule>
  </conditionalFormatting>
  <conditionalFormatting sqref="C18:AL18">
    <cfRule type="expression" dxfId="25" priority="9">
      <formula>C18&gt;100</formula>
    </cfRule>
  </conditionalFormatting>
  <conditionalFormatting sqref="C11:AL11">
    <cfRule type="expression" dxfId="24" priority="10">
      <formula>C11&gt;0.6</formula>
    </cfRule>
  </conditionalFormatting>
  <conditionalFormatting sqref="C11:AL11">
    <cfRule type="expression" dxfId="23" priority="11">
      <formula>AND(C11&gt;=0.4,C11&lt;=0.6)</formula>
    </cfRule>
  </conditionalFormatting>
  <conditionalFormatting sqref="C11:AL11">
    <cfRule type="expression" dxfId="22" priority="12">
      <formula>C11&lt;0.4</formula>
    </cfRule>
  </conditionalFormatting>
  <conditionalFormatting sqref="C23:AL23">
    <cfRule type="expression" dxfId="21" priority="13">
      <formula>C23&gt;3</formula>
    </cfRule>
  </conditionalFormatting>
  <conditionalFormatting sqref="C23:AL23">
    <cfRule type="expression" dxfId="20" priority="14">
      <formula>AND(C23&gt;=1,C23&lt;=3)</formula>
    </cfRule>
  </conditionalFormatting>
  <conditionalFormatting sqref="C23:AL23">
    <cfRule type="expression" dxfId="19" priority="15">
      <formula>C23&lt;1</formula>
    </cfRule>
  </conditionalFormatting>
  <conditionalFormatting sqref="C18:AL18">
    <cfRule type="expression" dxfId="18" priority="16">
      <formula>AND(C18&gt;0,C18&lt;50)</formula>
    </cfRule>
  </conditionalFormatting>
  <conditionalFormatting sqref="C18:AL18">
    <cfRule type="expression" dxfId="17" priority="17">
      <formula>AND(C18&gt;=50,C18&lt;=200)</formula>
    </cfRule>
  </conditionalFormatting>
  <conditionalFormatting sqref="C18:AL18">
    <cfRule type="expression" dxfId="16" priority="18">
      <formula>C18&gt;200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00647-9C00-754F-9C6E-0EFB4BAAD419}">
  <dimension ref="A1:AL48"/>
  <sheetViews>
    <sheetView showGridLines="0" workbookViewId="0">
      <selection activeCell="F42" sqref="F42"/>
    </sheetView>
  </sheetViews>
  <sheetFormatPr baseColWidth="10" defaultRowHeight="16" x14ac:dyDescent="0.2"/>
  <cols>
    <col min="1" max="1" width="20.1640625" style="42" bestFit="1" customWidth="1"/>
    <col min="2" max="2" width="10.83203125" customWidth="1"/>
    <col min="3" max="38" width="9.1640625" style="46" customWidth="1"/>
  </cols>
  <sheetData>
    <row r="1" spans="1:38" ht="17" thickBot="1" x14ac:dyDescent="0.25">
      <c r="A1" s="64" t="s">
        <v>170</v>
      </c>
      <c r="B1" s="64" t="s">
        <v>72</v>
      </c>
      <c r="C1" s="176" t="s">
        <v>409</v>
      </c>
      <c r="D1" s="176" t="s">
        <v>410</v>
      </c>
      <c r="E1" s="176" t="s">
        <v>411</v>
      </c>
      <c r="F1" s="176" t="s">
        <v>412</v>
      </c>
      <c r="G1" s="176" t="s">
        <v>413</v>
      </c>
      <c r="H1" s="176" t="s">
        <v>414</v>
      </c>
      <c r="I1" s="176" t="s">
        <v>415</v>
      </c>
      <c r="J1" s="176" t="s">
        <v>416</v>
      </c>
      <c r="K1" s="176" t="s">
        <v>417</v>
      </c>
      <c r="L1" s="176" t="s">
        <v>418</v>
      </c>
      <c r="M1" s="176" t="s">
        <v>419</v>
      </c>
      <c r="N1" s="176" t="s">
        <v>420</v>
      </c>
      <c r="O1" s="176" t="s">
        <v>421</v>
      </c>
      <c r="P1" s="176" t="s">
        <v>422</v>
      </c>
      <c r="Q1" s="176" t="s">
        <v>423</v>
      </c>
      <c r="R1" s="176" t="s">
        <v>424</v>
      </c>
      <c r="S1" s="176" t="s">
        <v>425</v>
      </c>
      <c r="T1" s="176" t="s">
        <v>426</v>
      </c>
      <c r="U1" s="176" t="s">
        <v>427</v>
      </c>
      <c r="V1" s="176" t="s">
        <v>428</v>
      </c>
      <c r="W1" s="176" t="s">
        <v>429</v>
      </c>
      <c r="X1" s="176" t="s">
        <v>430</v>
      </c>
      <c r="Y1" s="176" t="s">
        <v>431</v>
      </c>
      <c r="Z1" s="176" t="s">
        <v>432</v>
      </c>
      <c r="AA1" s="176" t="s">
        <v>433</v>
      </c>
      <c r="AB1" s="176" t="s">
        <v>434</v>
      </c>
      <c r="AC1" s="176" t="s">
        <v>435</v>
      </c>
      <c r="AD1" s="176" t="s">
        <v>436</v>
      </c>
      <c r="AE1" s="176" t="s">
        <v>437</v>
      </c>
      <c r="AF1" s="176" t="s">
        <v>438</v>
      </c>
      <c r="AG1" s="176" t="s">
        <v>439</v>
      </c>
      <c r="AH1" s="176" t="s">
        <v>440</v>
      </c>
      <c r="AI1" s="176" t="s">
        <v>441</v>
      </c>
      <c r="AJ1" s="176" t="s">
        <v>442</v>
      </c>
      <c r="AK1" s="176" t="s">
        <v>443</v>
      </c>
      <c r="AL1" s="176" t="s">
        <v>444</v>
      </c>
    </row>
    <row r="2" spans="1:38" x14ac:dyDescent="0.2">
      <c r="A2" s="90" t="s">
        <v>374</v>
      </c>
      <c r="B2" s="91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</row>
    <row r="3" spans="1:38" x14ac:dyDescent="0.2">
      <c r="A3" s="40" t="s">
        <v>96</v>
      </c>
      <c r="B3" s="2"/>
      <c r="C3" s="55">
        <f>Revenue!C37</f>
        <v>69</v>
      </c>
      <c r="D3" s="55">
        <f>Revenue!D37</f>
        <v>128.31499999999986</v>
      </c>
      <c r="E3" s="55">
        <f>Revenue!E37</f>
        <v>207.51752499999952</v>
      </c>
      <c r="F3" s="55">
        <f>Revenue!F37</f>
        <v>2306.8089681249999</v>
      </c>
      <c r="G3" s="55">
        <f>Revenue!G37</f>
        <v>3050.3909859531245</v>
      </c>
      <c r="H3" s="55">
        <f>Revenue!H37</f>
        <v>3718.6606794822101</v>
      </c>
      <c r="I3" s="55">
        <f>Revenue!I37</f>
        <v>4689.9274940196865</v>
      </c>
      <c r="J3" s="55">
        <f>Revenue!J37</f>
        <v>5816.1978115586735</v>
      </c>
      <c r="K3" s="55">
        <f>Revenue!K37</f>
        <v>7328.192319159376</v>
      </c>
      <c r="L3" s="55">
        <f>Revenue!L37</f>
        <v>9096.1855909702335</v>
      </c>
      <c r="M3" s="55">
        <f>Revenue!M37</f>
        <v>11045.377348938538</v>
      </c>
      <c r="N3" s="55">
        <f>Revenue!N37</f>
        <v>13117.270856309262</v>
      </c>
      <c r="O3" s="55">
        <f>Revenue!O37</f>
        <v>18863.806798978847</v>
      </c>
      <c r="P3" s="55">
        <f>Revenue!P37</f>
        <v>22942.513328749083</v>
      </c>
      <c r="Q3" s="55">
        <f>Revenue!Q37</f>
        <v>27517.628827717625</v>
      </c>
      <c r="R3" s="55">
        <f>Revenue!R37</f>
        <v>33506.995313954088</v>
      </c>
      <c r="S3" s="55">
        <f>Revenue!S37</f>
        <v>40296.969259593752</v>
      </c>
      <c r="T3" s="55">
        <f>Revenue!T37</f>
        <v>47543.04525799783</v>
      </c>
      <c r="U3" s="55">
        <f>Revenue!U37</f>
        <v>55180.300219081415</v>
      </c>
      <c r="V3" s="55">
        <f>Revenue!V37</f>
        <v>59643.230748657399</v>
      </c>
      <c r="W3" s="55">
        <f>Revenue!W37</f>
        <v>64475.506899726155</v>
      </c>
      <c r="X3" s="55">
        <f>Revenue!X37</f>
        <v>69664.230331189188</v>
      </c>
      <c r="Y3" s="55">
        <f>Revenue!Y37</f>
        <v>75348.631425899744</v>
      </c>
      <c r="Z3" s="55">
        <f>Revenue!Z37</f>
        <v>81353.156668396201</v>
      </c>
      <c r="AA3" s="55">
        <f>Revenue!AA37</f>
        <v>87988.722818629671</v>
      </c>
      <c r="AB3" s="55">
        <f>Revenue!AB37</f>
        <v>93440.050399144675</v>
      </c>
      <c r="AC3" s="55">
        <f>Revenue!AC37</f>
        <v>99181.567203029204</v>
      </c>
      <c r="AD3" s="55">
        <f>Revenue!AD37</f>
        <v>107191.08877543814</v>
      </c>
      <c r="AE3" s="55">
        <f>Revenue!AE37</f>
        <v>115827.96576012229</v>
      </c>
      <c r="AF3" s="55">
        <f>Revenue!AF37</f>
        <v>125173.88113773879</v>
      </c>
      <c r="AG3" s="55">
        <f>Revenue!AG37</f>
        <v>135287.90509133355</v>
      </c>
      <c r="AH3" s="55">
        <f>Revenue!AH37</f>
        <v>146182.20227866358</v>
      </c>
      <c r="AI3" s="55">
        <f>Revenue!AI37</f>
        <v>157991.44958628315</v>
      </c>
      <c r="AJ3" s="55">
        <f>Revenue!AJ37</f>
        <v>170787.69528043142</v>
      </c>
      <c r="AK3" s="55">
        <f>Revenue!AK37</f>
        <v>184584.70414328965</v>
      </c>
      <c r="AL3" s="55">
        <f>Revenue!AL37</f>
        <v>199458.9892026337</v>
      </c>
    </row>
    <row r="4" spans="1:38" x14ac:dyDescent="0.2">
      <c r="A4" s="40" t="s">
        <v>97</v>
      </c>
      <c r="B4" s="2"/>
      <c r="C4" s="55">
        <f>Revenue!C39</f>
        <v>2.0699999999999998</v>
      </c>
      <c r="D4" s="55">
        <f>Revenue!D39</f>
        <v>3.8494499999999956</v>
      </c>
      <c r="E4" s="55">
        <f>Revenue!E39</f>
        <v>6.2255257499999859</v>
      </c>
      <c r="F4" s="55">
        <f>Revenue!F39</f>
        <v>69.204269043749989</v>
      </c>
      <c r="G4" s="55">
        <f>Revenue!G39</f>
        <v>91.51172957859373</v>
      </c>
      <c r="H4" s="55">
        <f>Revenue!H39</f>
        <v>111.55982038446629</v>
      </c>
      <c r="I4" s="55">
        <f>Revenue!I39</f>
        <v>140.6978248205906</v>
      </c>
      <c r="J4" s="55">
        <f>Revenue!J39</f>
        <v>174.48593434676019</v>
      </c>
      <c r="K4" s="55">
        <f>Revenue!K39</f>
        <v>219.84576957478126</v>
      </c>
      <c r="L4" s="55">
        <f>Revenue!L39</f>
        <v>272.88556772910698</v>
      </c>
      <c r="M4" s="55">
        <f>Revenue!M39</f>
        <v>331.36132046815612</v>
      </c>
      <c r="N4" s="55">
        <f>Revenue!N39</f>
        <v>393.51812568927784</v>
      </c>
      <c r="O4" s="55">
        <f>Revenue!O39</f>
        <v>565.91420396936542</v>
      </c>
      <c r="P4" s="55">
        <f>Revenue!P39</f>
        <v>688.27539986247245</v>
      </c>
      <c r="Q4" s="55">
        <f>Revenue!Q39</f>
        <v>825.52886483152872</v>
      </c>
      <c r="R4" s="55">
        <f>Revenue!R39</f>
        <v>1005.2098594186226</v>
      </c>
      <c r="S4" s="55">
        <f>Revenue!S39</f>
        <v>1208.9090777878125</v>
      </c>
      <c r="T4" s="55">
        <f>Revenue!T39</f>
        <v>1426.2913577399349</v>
      </c>
      <c r="U4" s="55">
        <f>Revenue!U39</f>
        <v>1655.4090065724424</v>
      </c>
      <c r="V4" s="55">
        <f>Revenue!V39</f>
        <v>1789.2969224597218</v>
      </c>
      <c r="W4" s="55">
        <f>Revenue!W39</f>
        <v>1934.2652069917847</v>
      </c>
      <c r="X4" s="55">
        <f>Revenue!X39</f>
        <v>2089.9269099356757</v>
      </c>
      <c r="Y4" s="55">
        <f>Revenue!Y39</f>
        <v>2260.4589427769924</v>
      </c>
      <c r="Z4" s="55">
        <f>Revenue!Z39</f>
        <v>2440.5947000518859</v>
      </c>
      <c r="AA4" s="55">
        <f>Revenue!AA39</f>
        <v>2639.6616845588901</v>
      </c>
      <c r="AB4" s="55">
        <f>Revenue!AB39</f>
        <v>2803.2015119743401</v>
      </c>
      <c r="AC4" s="55">
        <f>Revenue!AC39</f>
        <v>2975.4470160908759</v>
      </c>
      <c r="AD4" s="55">
        <f>Revenue!AD39</f>
        <v>3215.7326632631439</v>
      </c>
      <c r="AE4" s="55">
        <f>Revenue!AE39</f>
        <v>3474.8389728036686</v>
      </c>
      <c r="AF4" s="55">
        <f>Revenue!AF39</f>
        <v>3755.2164341321636</v>
      </c>
      <c r="AG4" s="55">
        <f>Revenue!AG39</f>
        <v>4058.6371527400065</v>
      </c>
      <c r="AH4" s="55">
        <f>Revenue!AH39</f>
        <v>4385.4660683599068</v>
      </c>
      <c r="AI4" s="55">
        <f>Revenue!AI39</f>
        <v>4739.7434875884946</v>
      </c>
      <c r="AJ4" s="55">
        <f>Revenue!AJ39</f>
        <v>5123.6308584129429</v>
      </c>
      <c r="AK4" s="55">
        <f>Revenue!AK39</f>
        <v>5537.5411242986893</v>
      </c>
      <c r="AL4" s="55">
        <f>Revenue!AL39</f>
        <v>5983.7696760790113</v>
      </c>
    </row>
    <row r="5" spans="1:38" x14ac:dyDescent="0.2">
      <c r="A5" s="116" t="s">
        <v>171</v>
      </c>
      <c r="B5" s="117"/>
      <c r="C5" s="118">
        <f>Revenue!C40</f>
        <v>66.930000000000007</v>
      </c>
      <c r="D5" s="118">
        <f>Revenue!D40</f>
        <v>124.46554999999987</v>
      </c>
      <c r="E5" s="118">
        <f>Revenue!E40</f>
        <v>201.29199924999955</v>
      </c>
      <c r="F5" s="118">
        <f>Revenue!F40</f>
        <v>2237.6046990812497</v>
      </c>
      <c r="G5" s="118">
        <f>Revenue!G40</f>
        <v>2958.879256374531</v>
      </c>
      <c r="H5" s="118">
        <f>Revenue!H40</f>
        <v>3607.100859097744</v>
      </c>
      <c r="I5" s="118">
        <f>Revenue!I40</f>
        <v>4549.229669199096</v>
      </c>
      <c r="J5" s="118">
        <f>Revenue!J40</f>
        <v>5641.7118772119129</v>
      </c>
      <c r="K5" s="118">
        <f>Revenue!K40</f>
        <v>7108.3465495845949</v>
      </c>
      <c r="L5" s="118">
        <f>Revenue!L40</f>
        <v>8823.3000232411268</v>
      </c>
      <c r="M5" s="118">
        <f>Revenue!M40</f>
        <v>10714.016028470382</v>
      </c>
      <c r="N5" s="118">
        <f>Revenue!N40</f>
        <v>12723.752730619985</v>
      </c>
      <c r="O5" s="118">
        <f>Revenue!O40</f>
        <v>18297.892595009482</v>
      </c>
      <c r="P5" s="118">
        <f>Revenue!P40</f>
        <v>22254.23792888661</v>
      </c>
      <c r="Q5" s="118">
        <f>Revenue!Q40</f>
        <v>26692.099962886095</v>
      </c>
      <c r="R5" s="118">
        <f>Revenue!R40</f>
        <v>32501.785454535468</v>
      </c>
      <c r="S5" s="118">
        <f>Revenue!S40</f>
        <v>39088.060181805937</v>
      </c>
      <c r="T5" s="118">
        <f>Revenue!T40</f>
        <v>46116.753900257892</v>
      </c>
      <c r="U5" s="118">
        <f>Revenue!U40</f>
        <v>53524.89121250897</v>
      </c>
      <c r="V5" s="118">
        <f>Revenue!V40</f>
        <v>57853.933826197681</v>
      </c>
      <c r="W5" s="118">
        <f>Revenue!W40</f>
        <v>62541.241692734373</v>
      </c>
      <c r="X5" s="118">
        <f>Revenue!X40</f>
        <v>67574.303421253513</v>
      </c>
      <c r="Y5" s="118">
        <f>Revenue!Y40</f>
        <v>73088.172483122748</v>
      </c>
      <c r="Z5" s="118">
        <f>Revenue!Z40</f>
        <v>78912.561968344322</v>
      </c>
      <c r="AA5" s="118">
        <f>Revenue!AA40</f>
        <v>85349.061134070784</v>
      </c>
      <c r="AB5" s="118">
        <f>Revenue!AB40</f>
        <v>90636.84888717033</v>
      </c>
      <c r="AC5" s="118">
        <f>Revenue!AC40</f>
        <v>96206.120186938322</v>
      </c>
      <c r="AD5" s="118">
        <f>Revenue!AD40</f>
        <v>103975.356112175</v>
      </c>
      <c r="AE5" s="118">
        <f>Revenue!AE40</f>
        <v>112353.12678731862</v>
      </c>
      <c r="AF5" s="118">
        <f>Revenue!AF40</f>
        <v>121418.66470360663</v>
      </c>
      <c r="AG5" s="118">
        <f>Revenue!AG40</f>
        <v>131229.26793859355</v>
      </c>
      <c r="AH5" s="118">
        <f>Revenue!AH40</f>
        <v>141796.73621030367</v>
      </c>
      <c r="AI5" s="118">
        <f>Revenue!AI40</f>
        <v>153251.70609869465</v>
      </c>
      <c r="AJ5" s="118">
        <f>Revenue!AJ40</f>
        <v>165664.06442201848</v>
      </c>
      <c r="AK5" s="118">
        <f>Revenue!AK40</f>
        <v>179047.16301899095</v>
      </c>
      <c r="AL5" s="118">
        <f>Revenue!AL40</f>
        <v>193475.21952655469</v>
      </c>
    </row>
    <row r="6" spans="1:38" x14ac:dyDescent="0.2">
      <c r="A6" s="59" t="s">
        <v>390</v>
      </c>
      <c r="B6" s="60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</row>
    <row r="7" spans="1:38" x14ac:dyDescent="0.2">
      <c r="A7" s="40" t="s">
        <v>172</v>
      </c>
      <c r="B7" s="2"/>
      <c r="C7" s="50">
        <f>Costs!C14</f>
        <v>0</v>
      </c>
      <c r="D7" s="50">
        <f>Costs!D14</f>
        <v>0</v>
      </c>
      <c r="E7" s="50">
        <f>Costs!E14</f>
        <v>0</v>
      </c>
      <c r="F7" s="50">
        <f>Costs!F14</f>
        <v>0</v>
      </c>
      <c r="G7" s="50">
        <f>Costs!G14</f>
        <v>0</v>
      </c>
      <c r="H7" s="50">
        <f>Costs!H14</f>
        <v>0</v>
      </c>
      <c r="I7" s="50">
        <f>Costs!I14</f>
        <v>0</v>
      </c>
      <c r="J7" s="50">
        <f>Costs!J14</f>
        <v>0</v>
      </c>
      <c r="K7" s="50">
        <f>Costs!K14</f>
        <v>0</v>
      </c>
      <c r="L7" s="50">
        <f>Costs!L14</f>
        <v>0</v>
      </c>
      <c r="M7" s="50">
        <f>Costs!M14</f>
        <v>0</v>
      </c>
      <c r="N7" s="50">
        <f>Costs!N14</f>
        <v>0</v>
      </c>
      <c r="O7" s="50">
        <f>Costs!O14</f>
        <v>0</v>
      </c>
      <c r="P7" s="50">
        <f>Costs!P14</f>
        <v>0</v>
      </c>
      <c r="Q7" s="50">
        <f>Costs!Q14</f>
        <v>0</v>
      </c>
      <c r="R7" s="50">
        <f>Costs!R14</f>
        <v>0</v>
      </c>
      <c r="S7" s="50">
        <f>Costs!S14</f>
        <v>0</v>
      </c>
      <c r="T7" s="50">
        <f>Costs!T14</f>
        <v>0</v>
      </c>
      <c r="U7" s="50">
        <f>Costs!U14</f>
        <v>0</v>
      </c>
      <c r="V7" s="50">
        <f>Costs!V14</f>
        <v>0</v>
      </c>
      <c r="W7" s="50">
        <f>Costs!W14</f>
        <v>0</v>
      </c>
      <c r="X7" s="50">
        <f>Costs!X14</f>
        <v>0</v>
      </c>
      <c r="Y7" s="50">
        <f>Costs!Y14</f>
        <v>0</v>
      </c>
      <c r="Z7" s="50">
        <f>Costs!Z14</f>
        <v>0</v>
      </c>
      <c r="AA7" s="50">
        <f>Costs!AA14</f>
        <v>0</v>
      </c>
      <c r="AB7" s="50">
        <f>Costs!AB14</f>
        <v>0</v>
      </c>
      <c r="AC7" s="50">
        <f>Costs!AC14</f>
        <v>0</v>
      </c>
      <c r="AD7" s="50">
        <f>Costs!AD14</f>
        <v>0</v>
      </c>
      <c r="AE7" s="50">
        <f>Costs!AE14</f>
        <v>0</v>
      </c>
      <c r="AF7" s="50">
        <f>Costs!AF14</f>
        <v>0</v>
      </c>
      <c r="AG7" s="50">
        <f>Costs!AG14</f>
        <v>0</v>
      </c>
      <c r="AH7" s="50">
        <f>Costs!AH14</f>
        <v>0</v>
      </c>
      <c r="AI7" s="50">
        <f>Costs!AI14</f>
        <v>0</v>
      </c>
      <c r="AJ7" s="50">
        <f>Costs!AJ14</f>
        <v>0</v>
      </c>
      <c r="AK7" s="50">
        <f>Costs!AK14</f>
        <v>0</v>
      </c>
      <c r="AL7" s="50">
        <f>Costs!AL14</f>
        <v>0</v>
      </c>
    </row>
    <row r="8" spans="1:38" x14ac:dyDescent="0.2">
      <c r="A8" s="40" t="s">
        <v>173</v>
      </c>
      <c r="B8" s="2"/>
      <c r="C8" s="50">
        <f>Costs!C17</f>
        <v>12</v>
      </c>
      <c r="D8" s="50">
        <f>Costs!D17</f>
        <v>30.202500000000001</v>
      </c>
      <c r="E8" s="50">
        <f>Costs!E17</f>
        <v>56.33733749999999</v>
      </c>
      <c r="F8" s="50">
        <f>Costs!F17</f>
        <v>109.2132384375</v>
      </c>
      <c r="G8" s="50">
        <f>Costs!G17</f>
        <v>143.57371708593749</v>
      </c>
      <c r="H8" s="50">
        <f>Costs!H17</f>
        <v>176.62305824961328</v>
      </c>
      <c r="I8" s="50">
        <f>Costs!I17</f>
        <v>221.99842378303666</v>
      </c>
      <c r="J8" s="50">
        <f>Costs!J17</f>
        <v>274.89560459910166</v>
      </c>
      <c r="K8" s="50">
        <f>Costs!K17</f>
        <v>348.6346156338995</v>
      </c>
      <c r="L8" s="50">
        <f>Costs!L17</f>
        <v>431.76490415152688</v>
      </c>
      <c r="M8" s="50">
        <f>Costs!M17</f>
        <v>526.39950758562043</v>
      </c>
      <c r="N8" s="50">
        <f>Costs!N17</f>
        <v>625.17980122411439</v>
      </c>
      <c r="O8" s="50">
        <f>Costs!O17</f>
        <v>770.08275649954021</v>
      </c>
      <c r="P8" s="50">
        <f>Costs!P17</f>
        <v>936.07637671193663</v>
      </c>
      <c r="Q8" s="50">
        <f>Costs!Q17</f>
        <v>1125.7310614721225</v>
      </c>
      <c r="R8" s="50">
        <f>Costs!R17</f>
        <v>1364.6955503033498</v>
      </c>
      <c r="S8" s="50">
        <f>Costs!S17</f>
        <v>1644.5645491216035</v>
      </c>
      <c r="T8" s="50">
        <f>Costs!T17</f>
        <v>1941.5662012608225</v>
      </c>
      <c r="U8" s="50">
        <f>Costs!U17</f>
        <v>2251.9413091104657</v>
      </c>
      <c r="V8" s="50">
        <f>Costs!V17</f>
        <v>2434.2658858403784</v>
      </c>
      <c r="W8" s="50">
        <f>Costs!W17</f>
        <v>2630.9892804288297</v>
      </c>
      <c r="X8" s="50">
        <f>Costs!X17</f>
        <v>2843.8528332867218</v>
      </c>
      <c r="Y8" s="50">
        <f>Costs!Y17</f>
        <v>3073.5354657804291</v>
      </c>
      <c r="Z8" s="50">
        <f>Costs!Z17</f>
        <v>3322.3077536607875</v>
      </c>
      <c r="AA8" s="50">
        <f>Costs!AA17</f>
        <v>3590.8418004049927</v>
      </c>
      <c r="AB8" s="50">
        <f>Costs!AB17</f>
        <v>3812.805443459667</v>
      </c>
      <c r="AC8" s="50">
        <f>Costs!AC17</f>
        <v>4048.316678326722</v>
      </c>
      <c r="AD8" s="50">
        <f>Costs!AD17</f>
        <v>4375.5019299008291</v>
      </c>
      <c r="AE8" s="50">
        <f>Costs!AE17</f>
        <v>4728.1296904374412</v>
      </c>
      <c r="AF8" s="50">
        <f>Costs!AF17</f>
        <v>5109.4321986464956</v>
      </c>
      <c r="AG8" s="50">
        <f>Costs!AG17</f>
        <v>5521.7805454637728</v>
      </c>
      <c r="AH8" s="50">
        <f>Costs!AH17</f>
        <v>5967.4609191013824</v>
      </c>
      <c r="AI8" s="50">
        <f>Costs!AI17</f>
        <v>6449.2706431800689</v>
      </c>
      <c r="AJ8" s="50">
        <f>Costs!AJ17</f>
        <v>6970.3846800093788</v>
      </c>
      <c r="AK8" s="50">
        <f>Costs!AK17</f>
        <v>7532.9066118106457</v>
      </c>
      <c r="AL8" s="50">
        <f>Costs!AL17</f>
        <v>8140.5215044050819</v>
      </c>
    </row>
    <row r="9" spans="1:38" x14ac:dyDescent="0.2">
      <c r="A9" s="40" t="s">
        <v>99</v>
      </c>
      <c r="B9" s="2"/>
      <c r="C9" s="50">
        <f>Costs!C19</f>
        <v>2.3009999999999997</v>
      </c>
      <c r="D9" s="50">
        <f>Costs!D19</f>
        <v>4.6616349999999951</v>
      </c>
      <c r="E9" s="50">
        <f>Costs!E19</f>
        <v>7.6854757249999848</v>
      </c>
      <c r="F9" s="50">
        <f>Costs!F19</f>
        <v>85.440107763124999</v>
      </c>
      <c r="G9" s="50">
        <f>Costs!G19</f>
        <v>112.9760820098281</v>
      </c>
      <c r="H9" s="50">
        <f>Costs!H19</f>
        <v>137.76577135490675</v>
      </c>
      <c r="I9" s="50">
        <f>Costs!I19</f>
        <v>173.80758208317826</v>
      </c>
      <c r="J9" s="50">
        <f>Costs!J19</f>
        <v>215.54885745502185</v>
      </c>
      <c r="K9" s="50">
        <f>Costs!K19</f>
        <v>271.74450038240184</v>
      </c>
      <c r="L9" s="50">
        <f>Costs!L19</f>
        <v>337.24236296844214</v>
      </c>
      <c r="M9" s="50">
        <f>Costs!M19</f>
        <v>409.69584463634175</v>
      </c>
      <c r="N9" s="50">
        <f>Costs!N19</f>
        <v>486.53681507779146</v>
      </c>
      <c r="O9" s="50">
        <f>Costs!O19</f>
        <v>693.26694847029466</v>
      </c>
      <c r="P9" s="50">
        <f>Costs!P19</f>
        <v>843.24816187611077</v>
      </c>
      <c r="Q9" s="50">
        <f>Costs!Q19</f>
        <v>1011.7574482982357</v>
      </c>
      <c r="R9" s="50">
        <f>Costs!R19</f>
        <v>1231.1419741653385</v>
      </c>
      <c r="S9" s="50">
        <f>Costs!S19</f>
        <v>1481.0250183525395</v>
      </c>
      <c r="T9" s="50">
        <f>Costs!T19</f>
        <v>1747.5615527341015</v>
      </c>
      <c r="U9" s="50">
        <f>Costs!U19</f>
        <v>2028.1169681754541</v>
      </c>
      <c r="V9" s="50">
        <f>Costs!V19</f>
        <v>2192.2068688791405</v>
      </c>
      <c r="W9" s="50">
        <f>Costs!W19</f>
        <v>2369.5875561778244</v>
      </c>
      <c r="X9" s="50">
        <f>Costs!X19</f>
        <v>2560.5332462618308</v>
      </c>
      <c r="Y9" s="50">
        <f>Costs!Y19</f>
        <v>2769.2174045071783</v>
      </c>
      <c r="Z9" s="50">
        <f>Costs!Z19</f>
        <v>2990.403094115647</v>
      </c>
      <c r="AA9" s="50">
        <f>Costs!AA19</f>
        <v>3233.841321821259</v>
      </c>
      <c r="AB9" s="50">
        <f>Costs!AB19</f>
        <v>3434.222550267129</v>
      </c>
      <c r="AC9" s="50">
        <f>Costs!AC19</f>
        <v>3645.4287845531912</v>
      </c>
      <c r="AD9" s="50">
        <f>Costs!AD19</f>
        <v>3939.841960467872</v>
      </c>
      <c r="AE9" s="50">
        <f>Costs!AE19</f>
        <v>4257.2369451310351</v>
      </c>
      <c r="AF9" s="50">
        <f>Costs!AF19</f>
        <v>4600.9289927237241</v>
      </c>
      <c r="AG9" s="50">
        <f>Costs!AG19</f>
        <v>4972.5053567414279</v>
      </c>
      <c r="AH9" s="50">
        <f>Costs!AH19</f>
        <v>5373.0760499015205</v>
      </c>
      <c r="AI9" s="50">
        <f>Costs!AI19</f>
        <v>5807.1061666382247</v>
      </c>
      <c r="AJ9" s="50">
        <f>Costs!AJ19</f>
        <v>6277.3200991343865</v>
      </c>
      <c r="AK9" s="50">
        <f>Costs!AK19</f>
        <v>6784.2377425175291</v>
      </c>
      <c r="AL9" s="50">
        <f>Costs!AL19</f>
        <v>7331.1149877573944</v>
      </c>
    </row>
    <row r="10" spans="1:38" x14ac:dyDescent="0.2">
      <c r="A10" s="40" t="s">
        <v>174</v>
      </c>
      <c r="B10" s="2"/>
      <c r="C10" s="50">
        <f>Costs!C21</f>
        <v>0.8</v>
      </c>
      <c r="D10" s="50">
        <f>Costs!D21</f>
        <v>2.0135000000000001</v>
      </c>
      <c r="E10" s="50">
        <f>Costs!E21</f>
        <v>3.7558224999999994</v>
      </c>
      <c r="F10" s="50">
        <f>Costs!F21</f>
        <v>7.2808825625000004</v>
      </c>
      <c r="G10" s="50">
        <f>Costs!G21</f>
        <v>9.5715811390625003</v>
      </c>
      <c r="H10" s="50">
        <f>Costs!H21</f>
        <v>11.774870549974217</v>
      </c>
      <c r="I10" s="50">
        <f>Costs!I21</f>
        <v>14.799894918869112</v>
      </c>
      <c r="J10" s="50">
        <f>Costs!J21</f>
        <v>18.326373639940108</v>
      </c>
      <c r="K10" s="50">
        <f>Costs!K21</f>
        <v>23.242307708926631</v>
      </c>
      <c r="L10" s="50">
        <f>Costs!L21</f>
        <v>28.784326943435122</v>
      </c>
      <c r="M10" s="50">
        <f>Costs!M21</f>
        <v>35.093300505708029</v>
      </c>
      <c r="N10" s="50">
        <f>Costs!N21</f>
        <v>41.67865341494096</v>
      </c>
      <c r="O10" s="50">
        <f>Costs!O21</f>
        <v>51.338850433302675</v>
      </c>
      <c r="P10" s="50">
        <f>Costs!P21</f>
        <v>62.405091780795772</v>
      </c>
      <c r="Q10" s="50">
        <f>Costs!Q21</f>
        <v>75.048737431474819</v>
      </c>
      <c r="R10" s="50">
        <f>Costs!R21</f>
        <v>90.979703353556658</v>
      </c>
      <c r="S10" s="50">
        <f>Costs!S21</f>
        <v>109.6376366081069</v>
      </c>
      <c r="T10" s="50">
        <f>Costs!T21</f>
        <v>129.43774675072152</v>
      </c>
      <c r="U10" s="50">
        <f>Costs!U21</f>
        <v>150.12942060736438</v>
      </c>
      <c r="V10" s="50">
        <f>Costs!V21</f>
        <v>162.28439238935857</v>
      </c>
      <c r="W10" s="50">
        <f>Costs!W21</f>
        <v>175.39928536192198</v>
      </c>
      <c r="X10" s="50">
        <f>Costs!X21</f>
        <v>189.59018888578146</v>
      </c>
      <c r="Y10" s="50">
        <f>Costs!Y21</f>
        <v>204.90236438536195</v>
      </c>
      <c r="Z10" s="50">
        <f>Costs!Z21</f>
        <v>221.48718357738582</v>
      </c>
      <c r="AA10" s="50">
        <f>Costs!AA21</f>
        <v>239.38945336033285</v>
      </c>
      <c r="AB10" s="50">
        <f>Costs!AB21</f>
        <v>254.1870295639778</v>
      </c>
      <c r="AC10" s="50">
        <f>Costs!AC21</f>
        <v>269.88777855511483</v>
      </c>
      <c r="AD10" s="50">
        <f>Costs!AD21</f>
        <v>291.70012866005527</v>
      </c>
      <c r="AE10" s="50">
        <f>Costs!AE21</f>
        <v>315.20864602916276</v>
      </c>
      <c r="AF10" s="50">
        <f>Costs!AF21</f>
        <v>340.62881324309973</v>
      </c>
      <c r="AG10" s="50">
        <f>Costs!AG21</f>
        <v>368.1187030309182</v>
      </c>
      <c r="AH10" s="50">
        <f>Costs!AH21</f>
        <v>397.83072794009217</v>
      </c>
      <c r="AI10" s="50">
        <f>Costs!AI21</f>
        <v>429.95137621200456</v>
      </c>
      <c r="AJ10" s="50">
        <f>Costs!AJ21</f>
        <v>464.69231200062524</v>
      </c>
      <c r="AK10" s="50">
        <f>Costs!AK21</f>
        <v>502.19377412070963</v>
      </c>
      <c r="AL10" s="50">
        <f>Costs!AL21</f>
        <v>542.70143362700537</v>
      </c>
    </row>
    <row r="11" spans="1:38" x14ac:dyDescent="0.2">
      <c r="A11" s="40" t="s">
        <v>153</v>
      </c>
      <c r="B11" s="2"/>
      <c r="C11" s="50">
        <f>C7+C8+C9+C10</f>
        <v>15.101000000000001</v>
      </c>
      <c r="D11" s="50">
        <f t="shared" ref="D11:AL11" si="0">D7+D8+D9+D10</f>
        <v>36.877634999999998</v>
      </c>
      <c r="E11" s="50">
        <f t="shared" si="0"/>
        <v>67.778635724999972</v>
      </c>
      <c r="F11" s="50">
        <f t="shared" si="0"/>
        <v>201.93422876312499</v>
      </c>
      <c r="G11" s="50">
        <f t="shared" si="0"/>
        <v>266.12138023482811</v>
      </c>
      <c r="H11" s="50">
        <f t="shared" si="0"/>
        <v>326.16370015449422</v>
      </c>
      <c r="I11" s="50">
        <f t="shared" si="0"/>
        <v>410.60590078508403</v>
      </c>
      <c r="J11" s="50">
        <f t="shared" si="0"/>
        <v>508.77083569406363</v>
      </c>
      <c r="K11" s="50">
        <f t="shared" si="0"/>
        <v>643.62142372522806</v>
      </c>
      <c r="L11" s="50">
        <f t="shared" si="0"/>
        <v>797.79159406340409</v>
      </c>
      <c r="M11" s="50">
        <f t="shared" si="0"/>
        <v>971.18865272767027</v>
      </c>
      <c r="N11" s="50">
        <f t="shared" si="0"/>
        <v>1153.3952697168468</v>
      </c>
      <c r="O11" s="50">
        <f t="shared" si="0"/>
        <v>1514.6885554031376</v>
      </c>
      <c r="P11" s="50">
        <f t="shared" si="0"/>
        <v>1841.7296303688431</v>
      </c>
      <c r="Q11" s="50">
        <f t="shared" si="0"/>
        <v>2212.537247201833</v>
      </c>
      <c r="R11" s="50">
        <f t="shared" si="0"/>
        <v>2686.8172278222451</v>
      </c>
      <c r="S11" s="50">
        <f t="shared" si="0"/>
        <v>3235.22720408225</v>
      </c>
      <c r="T11" s="50">
        <f t="shared" si="0"/>
        <v>3818.5655007456457</v>
      </c>
      <c r="U11" s="50">
        <f t="shared" si="0"/>
        <v>4430.1876978932842</v>
      </c>
      <c r="V11" s="50">
        <f t="shared" si="0"/>
        <v>4788.7571471088777</v>
      </c>
      <c r="W11" s="50">
        <f t="shared" si="0"/>
        <v>5175.9761219685761</v>
      </c>
      <c r="X11" s="50">
        <f t="shared" si="0"/>
        <v>5593.9762684343341</v>
      </c>
      <c r="Y11" s="50">
        <f t="shared" si="0"/>
        <v>6047.6552346729695</v>
      </c>
      <c r="Z11" s="50">
        <f t="shared" si="0"/>
        <v>6534.1980313538197</v>
      </c>
      <c r="AA11" s="50">
        <f t="shared" si="0"/>
        <v>7064.0725755865842</v>
      </c>
      <c r="AB11" s="50">
        <f t="shared" si="0"/>
        <v>7501.2150232907734</v>
      </c>
      <c r="AC11" s="50">
        <f t="shared" si="0"/>
        <v>7963.6332414350281</v>
      </c>
      <c r="AD11" s="50">
        <f t="shared" si="0"/>
        <v>8607.0440190287572</v>
      </c>
      <c r="AE11" s="50">
        <f t="shared" si="0"/>
        <v>9300.5752815976393</v>
      </c>
      <c r="AF11" s="50">
        <f t="shared" si="0"/>
        <v>10050.990004613319</v>
      </c>
      <c r="AG11" s="50">
        <f t="shared" si="0"/>
        <v>10862.404605236117</v>
      </c>
      <c r="AH11" s="50">
        <f t="shared" si="0"/>
        <v>11738.367696942996</v>
      </c>
      <c r="AI11" s="50">
        <f t="shared" si="0"/>
        <v>12686.328186030298</v>
      </c>
      <c r="AJ11" s="50">
        <f t="shared" si="0"/>
        <v>13712.39709114439</v>
      </c>
      <c r="AK11" s="50">
        <f t="shared" si="0"/>
        <v>14819.338128448884</v>
      </c>
      <c r="AL11" s="50">
        <f t="shared" si="0"/>
        <v>16014.337925789483</v>
      </c>
    </row>
    <row r="12" spans="1:38" x14ac:dyDescent="0.2">
      <c r="A12" s="119" t="s">
        <v>175</v>
      </c>
      <c r="B12" s="120"/>
      <c r="C12" s="121">
        <f>C5-C11</f>
        <v>51.829000000000008</v>
      </c>
      <c r="D12" s="121">
        <f t="shared" ref="D12:AL12" si="1">D5-D11</f>
        <v>87.587914999999867</v>
      </c>
      <c r="E12" s="121">
        <f t="shared" si="1"/>
        <v>133.51336352499959</v>
      </c>
      <c r="F12" s="121">
        <f t="shared" si="1"/>
        <v>2035.6704703181247</v>
      </c>
      <c r="G12" s="121">
        <f t="shared" si="1"/>
        <v>2692.7578761397031</v>
      </c>
      <c r="H12" s="121">
        <f t="shared" si="1"/>
        <v>3280.9371589432499</v>
      </c>
      <c r="I12" s="121">
        <f t="shared" si="1"/>
        <v>4138.6237684140124</v>
      </c>
      <c r="J12" s="121">
        <f t="shared" si="1"/>
        <v>5132.941041517849</v>
      </c>
      <c r="K12" s="121">
        <f t="shared" si="1"/>
        <v>6464.7251258593669</v>
      </c>
      <c r="L12" s="121">
        <f t="shared" si="1"/>
        <v>8025.508429177723</v>
      </c>
      <c r="M12" s="121">
        <f t="shared" si="1"/>
        <v>9742.8273757427105</v>
      </c>
      <c r="N12" s="121">
        <f t="shared" si="1"/>
        <v>11570.357460903138</v>
      </c>
      <c r="O12" s="121">
        <f t="shared" si="1"/>
        <v>16783.204039606346</v>
      </c>
      <c r="P12" s="121">
        <f t="shared" si="1"/>
        <v>20412.508298517769</v>
      </c>
      <c r="Q12" s="121">
        <f t="shared" si="1"/>
        <v>24479.562715684264</v>
      </c>
      <c r="R12" s="121">
        <f t="shared" si="1"/>
        <v>29814.968226713223</v>
      </c>
      <c r="S12" s="121">
        <f t="shared" si="1"/>
        <v>35852.832977723687</v>
      </c>
      <c r="T12" s="121">
        <f t="shared" si="1"/>
        <v>42298.188399512248</v>
      </c>
      <c r="U12" s="121">
        <f t="shared" si="1"/>
        <v>49094.703514615685</v>
      </c>
      <c r="V12" s="121">
        <f t="shared" si="1"/>
        <v>53065.176679088807</v>
      </c>
      <c r="W12" s="121">
        <f t="shared" si="1"/>
        <v>57365.265570765798</v>
      </c>
      <c r="X12" s="121">
        <f t="shared" si="1"/>
        <v>61980.327152819176</v>
      </c>
      <c r="Y12" s="121">
        <f t="shared" si="1"/>
        <v>67040.517248449774</v>
      </c>
      <c r="Z12" s="121">
        <f t="shared" si="1"/>
        <v>72378.363936990499</v>
      </c>
      <c r="AA12" s="121">
        <f t="shared" si="1"/>
        <v>78284.988558484198</v>
      </c>
      <c r="AB12" s="121">
        <f t="shared" si="1"/>
        <v>83135.633863879557</v>
      </c>
      <c r="AC12" s="121">
        <f t="shared" si="1"/>
        <v>88242.486945503289</v>
      </c>
      <c r="AD12" s="121">
        <f t="shared" si="1"/>
        <v>95368.312093146233</v>
      </c>
      <c r="AE12" s="121">
        <f t="shared" si="1"/>
        <v>103052.55150572097</v>
      </c>
      <c r="AF12" s="121">
        <f t="shared" si="1"/>
        <v>111367.6746989933</v>
      </c>
      <c r="AG12" s="121">
        <f t="shared" si="1"/>
        <v>120366.86333335743</v>
      </c>
      <c r="AH12" s="121">
        <f t="shared" si="1"/>
        <v>130058.36851336068</v>
      </c>
      <c r="AI12" s="121">
        <f t="shared" si="1"/>
        <v>140565.37791266435</v>
      </c>
      <c r="AJ12" s="121">
        <f t="shared" si="1"/>
        <v>151951.66733087407</v>
      </c>
      <c r="AK12" s="121">
        <f t="shared" si="1"/>
        <v>164227.82489054208</v>
      </c>
      <c r="AL12" s="121">
        <f t="shared" si="1"/>
        <v>177460.88160076522</v>
      </c>
    </row>
    <row r="13" spans="1:38" x14ac:dyDescent="0.2">
      <c r="A13" s="108" t="s">
        <v>155</v>
      </c>
      <c r="B13" s="109" t="s">
        <v>21</v>
      </c>
      <c r="C13" s="110">
        <f>IFERROR(C12/C5,0)</f>
        <v>0.77437621395487832</v>
      </c>
      <c r="D13" s="110">
        <f t="shared" ref="D13:AL13" si="2">IFERROR(D12/D5,0)</f>
        <v>0.70371211150394597</v>
      </c>
      <c r="E13" s="110">
        <f t="shared" si="2"/>
        <v>0.66328201827425537</v>
      </c>
      <c r="F13" s="110">
        <f t="shared" si="2"/>
        <v>0.90975428821451876</v>
      </c>
      <c r="G13" s="110">
        <f t="shared" si="2"/>
        <v>0.91006007438069558</v>
      </c>
      <c r="H13" s="110">
        <f t="shared" si="2"/>
        <v>0.90957732736198604</v>
      </c>
      <c r="I13" s="110">
        <f t="shared" si="2"/>
        <v>0.90974166383264354</v>
      </c>
      <c r="J13" s="110">
        <f t="shared" si="2"/>
        <v>0.90981977691042704</v>
      </c>
      <c r="K13" s="110">
        <f t="shared" si="2"/>
        <v>0.90945553663772338</v>
      </c>
      <c r="L13" s="110">
        <f t="shared" si="2"/>
        <v>0.90958126869062927</v>
      </c>
      <c r="M13" s="110">
        <f t="shared" si="2"/>
        <v>0.90935344411031971</v>
      </c>
      <c r="N13" s="110">
        <f t="shared" si="2"/>
        <v>0.90935101505539517</v>
      </c>
      <c r="O13" s="110">
        <f t="shared" si="2"/>
        <v>0.91722060081300028</v>
      </c>
      <c r="P13" s="110">
        <f t="shared" si="2"/>
        <v>0.91724139751475264</v>
      </c>
      <c r="Q13" s="110">
        <f t="shared" si="2"/>
        <v>0.91710891049118493</v>
      </c>
      <c r="R13" s="110">
        <f t="shared" si="2"/>
        <v>0.91733324215124579</v>
      </c>
      <c r="S13" s="110">
        <f t="shared" si="2"/>
        <v>0.91723234181909774</v>
      </c>
      <c r="T13" s="110">
        <f t="shared" si="2"/>
        <v>0.91719786893491018</v>
      </c>
      <c r="U13" s="110">
        <f t="shared" si="2"/>
        <v>0.91723126198791916</v>
      </c>
      <c r="V13" s="110">
        <f t="shared" si="2"/>
        <v>0.91722676695598515</v>
      </c>
      <c r="W13" s="110">
        <f t="shared" si="2"/>
        <v>0.91723899331263381</v>
      </c>
      <c r="X13" s="110">
        <f t="shared" si="2"/>
        <v>0.91721740387670925</v>
      </c>
      <c r="Y13" s="110">
        <f t="shared" si="2"/>
        <v>0.91725535022688554</v>
      </c>
      <c r="Z13" s="110">
        <f t="shared" si="2"/>
        <v>0.91719698526611004</v>
      </c>
      <c r="AA13" s="110">
        <f t="shared" si="2"/>
        <v>0.91723315427582774</v>
      </c>
      <c r="AB13" s="110">
        <f t="shared" si="2"/>
        <v>0.91723879288181465</v>
      </c>
      <c r="AC13" s="110">
        <f t="shared" si="2"/>
        <v>0.91722321588313838</v>
      </c>
      <c r="AD13" s="110">
        <f t="shared" si="2"/>
        <v>0.91722034585057877</v>
      </c>
      <c r="AE13" s="110">
        <f t="shared" si="2"/>
        <v>0.91722014733774715</v>
      </c>
      <c r="AF13" s="110">
        <f t="shared" si="2"/>
        <v>0.9172203875808661</v>
      </c>
      <c r="AG13" s="110">
        <f t="shared" si="2"/>
        <v>0.91722574715330274</v>
      </c>
      <c r="AH13" s="110">
        <f t="shared" si="2"/>
        <v>0.91721694017319688</v>
      </c>
      <c r="AI13" s="110">
        <f t="shared" si="2"/>
        <v>0.9172190084601064</v>
      </c>
      <c r="AJ13" s="110">
        <f t="shared" si="2"/>
        <v>0.91722769123777526</v>
      </c>
      <c r="AK13" s="110">
        <f t="shared" si="2"/>
        <v>0.91723220922033244</v>
      </c>
      <c r="AL13" s="110">
        <f t="shared" si="2"/>
        <v>0.91722796353467129</v>
      </c>
    </row>
    <row r="14" spans="1:38" x14ac:dyDescent="0.2">
      <c r="A14" s="111" t="s">
        <v>391</v>
      </c>
      <c r="B14" s="112"/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</row>
    <row r="15" spans="1:38" x14ac:dyDescent="0.2">
      <c r="A15" s="40" t="s">
        <v>176</v>
      </c>
      <c r="B15" s="2"/>
      <c r="C15" s="50">
        <f>Costs!C34</f>
        <v>6380</v>
      </c>
      <c r="D15" s="50">
        <f>Costs!D34</f>
        <v>6380</v>
      </c>
      <c r="E15" s="50">
        <f>Costs!E34</f>
        <v>6380</v>
      </c>
      <c r="F15" s="50">
        <f>Costs!F34</f>
        <v>6380</v>
      </c>
      <c r="G15" s="50">
        <f>Costs!G34</f>
        <v>6380</v>
      </c>
      <c r="H15" s="50">
        <f>Costs!H34</f>
        <v>6380</v>
      </c>
      <c r="I15" s="50">
        <f>Costs!I34</f>
        <v>6380</v>
      </c>
      <c r="J15" s="50">
        <f>Costs!J34</f>
        <v>13108</v>
      </c>
      <c r="K15" s="50">
        <f>Costs!K34</f>
        <v>13108</v>
      </c>
      <c r="L15" s="50">
        <f>Costs!L34</f>
        <v>13108</v>
      </c>
      <c r="M15" s="50">
        <f>Costs!M34</f>
        <v>13108</v>
      </c>
      <c r="N15" s="50">
        <f>Costs!N34</f>
        <v>13108</v>
      </c>
      <c r="O15" s="50">
        <f>Costs!O34</f>
        <v>15428</v>
      </c>
      <c r="P15" s="50">
        <f>Costs!P34</f>
        <v>15428</v>
      </c>
      <c r="Q15" s="50">
        <f>Costs!Q34</f>
        <v>15428</v>
      </c>
      <c r="R15" s="50">
        <f>Costs!R34</f>
        <v>15428</v>
      </c>
      <c r="S15" s="50">
        <f>Costs!S34</f>
        <v>15428</v>
      </c>
      <c r="T15" s="50">
        <f>Costs!T34</f>
        <v>15428</v>
      </c>
      <c r="U15" s="50">
        <f>Costs!U34</f>
        <v>15428</v>
      </c>
      <c r="V15" s="50">
        <f>Costs!V34</f>
        <v>15428</v>
      </c>
      <c r="W15" s="50">
        <f>Costs!W34</f>
        <v>15428</v>
      </c>
      <c r="X15" s="50">
        <f>Costs!X34</f>
        <v>15428</v>
      </c>
      <c r="Y15" s="50">
        <f>Costs!Y34</f>
        <v>15428</v>
      </c>
      <c r="Z15" s="50">
        <f>Costs!Z34</f>
        <v>15428</v>
      </c>
      <c r="AA15" s="50">
        <f>Costs!AA34</f>
        <v>15428</v>
      </c>
      <c r="AB15" s="50">
        <f>Costs!AB34</f>
        <v>15428</v>
      </c>
      <c r="AC15" s="50">
        <f>Costs!AC34</f>
        <v>15428</v>
      </c>
      <c r="AD15" s="50">
        <f>Costs!AD34</f>
        <v>15428</v>
      </c>
      <c r="AE15" s="50">
        <f>Costs!AE34</f>
        <v>15428</v>
      </c>
      <c r="AF15" s="50">
        <f>Costs!AF34</f>
        <v>15428</v>
      </c>
      <c r="AG15" s="50">
        <f>Costs!AG34</f>
        <v>15428</v>
      </c>
      <c r="AH15" s="50">
        <f>Costs!AH34</f>
        <v>15428</v>
      </c>
      <c r="AI15" s="50">
        <f>Costs!AI34</f>
        <v>15428</v>
      </c>
      <c r="AJ15" s="50">
        <f>Costs!AJ34</f>
        <v>15428</v>
      </c>
      <c r="AK15" s="50">
        <f>Costs!AK34</f>
        <v>15428</v>
      </c>
      <c r="AL15" s="50">
        <f>Costs!AL34</f>
        <v>15428</v>
      </c>
    </row>
    <row r="16" spans="1:38" x14ac:dyDescent="0.2">
      <c r="A16" s="40" t="s">
        <v>177</v>
      </c>
      <c r="B16" s="2"/>
      <c r="C16" s="50">
        <f>Costs!C36</f>
        <v>500</v>
      </c>
      <c r="D16" s="50">
        <f>Costs!D36</f>
        <v>500</v>
      </c>
      <c r="E16" s="50">
        <f>Costs!E36</f>
        <v>500</v>
      </c>
      <c r="F16" s="50">
        <f>Costs!F36</f>
        <v>500</v>
      </c>
      <c r="G16" s="50">
        <f>Costs!G36</f>
        <v>500</v>
      </c>
      <c r="H16" s="50">
        <f>Costs!H36</f>
        <v>500</v>
      </c>
      <c r="I16" s="50">
        <f>Costs!I36</f>
        <v>500</v>
      </c>
      <c r="J16" s="50">
        <f>Costs!J36</f>
        <v>500</v>
      </c>
      <c r="K16" s="50">
        <f>Costs!K36</f>
        <v>500</v>
      </c>
      <c r="L16" s="50">
        <f>Costs!L36</f>
        <v>500</v>
      </c>
      <c r="M16" s="50">
        <f>Costs!M36</f>
        <v>500</v>
      </c>
      <c r="N16" s="50">
        <f>Costs!N36</f>
        <v>500</v>
      </c>
      <c r="O16" s="50">
        <f>Costs!O36</f>
        <v>500</v>
      </c>
      <c r="P16" s="50">
        <f>Costs!P36</f>
        <v>500</v>
      </c>
      <c r="Q16" s="50">
        <f>Costs!Q36</f>
        <v>500</v>
      </c>
      <c r="R16" s="50">
        <f>Costs!R36</f>
        <v>500</v>
      </c>
      <c r="S16" s="50">
        <f>Costs!S36</f>
        <v>500</v>
      </c>
      <c r="T16" s="50">
        <f>Costs!T36</f>
        <v>500</v>
      </c>
      <c r="U16" s="50">
        <f>Costs!U36</f>
        <v>500</v>
      </c>
      <c r="V16" s="50">
        <f>Costs!V36</f>
        <v>500</v>
      </c>
      <c r="W16" s="50">
        <f>Costs!W36</f>
        <v>500</v>
      </c>
      <c r="X16" s="50">
        <f>Costs!X36</f>
        <v>500</v>
      </c>
      <c r="Y16" s="50">
        <f>Costs!Y36</f>
        <v>500</v>
      </c>
      <c r="Z16" s="50">
        <f>Costs!Z36</f>
        <v>500</v>
      </c>
      <c r="AA16" s="50">
        <f>Costs!AA36</f>
        <v>500</v>
      </c>
      <c r="AB16" s="50">
        <f>Costs!AB36</f>
        <v>500</v>
      </c>
      <c r="AC16" s="50">
        <f>Costs!AC36</f>
        <v>500</v>
      </c>
      <c r="AD16" s="50">
        <f>Costs!AD36</f>
        <v>500</v>
      </c>
      <c r="AE16" s="50">
        <f>Costs!AE36</f>
        <v>500</v>
      </c>
      <c r="AF16" s="50">
        <f>Costs!AF36</f>
        <v>500</v>
      </c>
      <c r="AG16" s="50">
        <f>Costs!AG36</f>
        <v>500</v>
      </c>
      <c r="AH16" s="50">
        <f>Costs!AH36</f>
        <v>500</v>
      </c>
      <c r="AI16" s="50">
        <f>Costs!AI36</f>
        <v>500</v>
      </c>
      <c r="AJ16" s="50">
        <f>Costs!AJ36</f>
        <v>500</v>
      </c>
      <c r="AK16" s="50">
        <f>Costs!AK36</f>
        <v>500</v>
      </c>
      <c r="AL16" s="50">
        <f>Costs!AL36</f>
        <v>500</v>
      </c>
    </row>
    <row r="17" spans="1:38" x14ac:dyDescent="0.2">
      <c r="A17" s="40" t="s">
        <v>178</v>
      </c>
      <c r="B17" s="2"/>
      <c r="C17" s="50">
        <f>Costs!C37+Costs!C38+Costs!C39</f>
        <v>310</v>
      </c>
      <c r="D17" s="50">
        <f>Costs!D37+Costs!D38+Costs!D39</f>
        <v>310</v>
      </c>
      <c r="E17" s="50">
        <f>Costs!E37+Costs!E38+Costs!E39</f>
        <v>310</v>
      </c>
      <c r="F17" s="50">
        <f>Costs!F37+Costs!F38+Costs!F39</f>
        <v>310</v>
      </c>
      <c r="G17" s="50">
        <f>Costs!G37+Costs!G38+Costs!G39</f>
        <v>310</v>
      </c>
      <c r="H17" s="50">
        <f>Costs!H37+Costs!H38+Costs!H39</f>
        <v>310</v>
      </c>
      <c r="I17" s="50">
        <f>Costs!I37+Costs!I38+Costs!I39</f>
        <v>310</v>
      </c>
      <c r="J17" s="50">
        <f>Costs!J37+Costs!J38+Costs!J39</f>
        <v>310</v>
      </c>
      <c r="K17" s="50">
        <f>Costs!K37+Costs!K38+Costs!K39</f>
        <v>310</v>
      </c>
      <c r="L17" s="50">
        <f>Costs!L37+Costs!L38+Costs!L39</f>
        <v>310</v>
      </c>
      <c r="M17" s="50">
        <f>Costs!M37+Costs!M38+Costs!M39</f>
        <v>310</v>
      </c>
      <c r="N17" s="50">
        <f>Costs!N37+Costs!N38+Costs!N39</f>
        <v>310</v>
      </c>
      <c r="O17" s="50">
        <f>Costs!O37+Costs!O38+Costs!O39</f>
        <v>310</v>
      </c>
      <c r="P17" s="50">
        <f>Costs!P37+Costs!P38+Costs!P39</f>
        <v>310</v>
      </c>
      <c r="Q17" s="50">
        <f>Costs!Q37+Costs!Q38+Costs!Q39</f>
        <v>310</v>
      </c>
      <c r="R17" s="50">
        <f>Costs!R37+Costs!R38+Costs!R39</f>
        <v>310</v>
      </c>
      <c r="S17" s="50">
        <f>Costs!S37+Costs!S38+Costs!S39</f>
        <v>310</v>
      </c>
      <c r="T17" s="50">
        <f>Costs!T37+Costs!T38+Costs!T39</f>
        <v>310</v>
      </c>
      <c r="U17" s="50">
        <f>Costs!U37+Costs!U38+Costs!U39</f>
        <v>310</v>
      </c>
      <c r="V17" s="50">
        <f>Costs!V37+Costs!V38+Costs!V39</f>
        <v>310</v>
      </c>
      <c r="W17" s="50">
        <f>Costs!W37+Costs!W38+Costs!W39</f>
        <v>310</v>
      </c>
      <c r="X17" s="50">
        <f>Costs!X37+Costs!X38+Costs!X39</f>
        <v>310</v>
      </c>
      <c r="Y17" s="50">
        <f>Costs!Y37+Costs!Y38+Costs!Y39</f>
        <v>310</v>
      </c>
      <c r="Z17" s="50">
        <f>Costs!Z37+Costs!Z38+Costs!Z39</f>
        <v>310</v>
      </c>
      <c r="AA17" s="50">
        <f>Costs!AA37+Costs!AA38+Costs!AA39</f>
        <v>310</v>
      </c>
      <c r="AB17" s="50">
        <f>Costs!AB37+Costs!AB38+Costs!AB39</f>
        <v>310</v>
      </c>
      <c r="AC17" s="50">
        <f>Costs!AC37+Costs!AC38+Costs!AC39</f>
        <v>310</v>
      </c>
      <c r="AD17" s="50">
        <f>Costs!AD37+Costs!AD38+Costs!AD39</f>
        <v>310</v>
      </c>
      <c r="AE17" s="50">
        <f>Costs!AE37+Costs!AE38+Costs!AE39</f>
        <v>310</v>
      </c>
      <c r="AF17" s="50">
        <f>Costs!AF37+Costs!AF38+Costs!AF39</f>
        <v>310</v>
      </c>
      <c r="AG17" s="50">
        <f>Costs!AG37+Costs!AG38+Costs!AG39</f>
        <v>310</v>
      </c>
      <c r="AH17" s="50">
        <f>Costs!AH37+Costs!AH38+Costs!AH39</f>
        <v>310</v>
      </c>
      <c r="AI17" s="50">
        <f>Costs!AI37+Costs!AI38+Costs!AI39</f>
        <v>310</v>
      </c>
      <c r="AJ17" s="50">
        <f>Costs!AJ37+Costs!AJ38+Costs!AJ39</f>
        <v>310</v>
      </c>
      <c r="AK17" s="50">
        <f>Costs!AK37+Costs!AK38+Costs!AK39</f>
        <v>310</v>
      </c>
      <c r="AL17" s="50">
        <f>Costs!AL37+Costs!AL38+Costs!AL39</f>
        <v>310</v>
      </c>
    </row>
    <row r="18" spans="1:38" x14ac:dyDescent="0.2">
      <c r="A18" s="40" t="s">
        <v>49</v>
      </c>
      <c r="B18" s="2"/>
      <c r="C18" s="50">
        <f>Costs!C40</f>
        <v>200</v>
      </c>
      <c r="D18" s="50">
        <f>Costs!D40</f>
        <v>200</v>
      </c>
      <c r="E18" s="50">
        <f>Costs!E40</f>
        <v>200</v>
      </c>
      <c r="F18" s="50">
        <f>Costs!F40</f>
        <v>200</v>
      </c>
      <c r="G18" s="50">
        <f>Costs!G40</f>
        <v>200</v>
      </c>
      <c r="H18" s="50">
        <f>Costs!H40</f>
        <v>200</v>
      </c>
      <c r="I18" s="50">
        <f>Costs!I40</f>
        <v>500</v>
      </c>
      <c r="J18" s="50">
        <f>Costs!J40</f>
        <v>500</v>
      </c>
      <c r="K18" s="50">
        <f>Costs!K40</f>
        <v>500</v>
      </c>
      <c r="L18" s="50">
        <f>Costs!L40</f>
        <v>500</v>
      </c>
      <c r="M18" s="50">
        <f>Costs!M40</f>
        <v>500</v>
      </c>
      <c r="N18" s="50">
        <f>Costs!N40</f>
        <v>500</v>
      </c>
      <c r="O18" s="50">
        <f>Costs!O40</f>
        <v>500</v>
      </c>
      <c r="P18" s="50">
        <f>Costs!P40</f>
        <v>500</v>
      </c>
      <c r="Q18" s="50">
        <f>Costs!Q40</f>
        <v>500</v>
      </c>
      <c r="R18" s="50">
        <f>Costs!R40</f>
        <v>500</v>
      </c>
      <c r="S18" s="50">
        <f>Costs!S40</f>
        <v>500</v>
      </c>
      <c r="T18" s="50">
        <f>Costs!T40</f>
        <v>500</v>
      </c>
      <c r="U18" s="50">
        <f>Costs!U40</f>
        <v>500</v>
      </c>
      <c r="V18" s="50">
        <f>Costs!V40</f>
        <v>500</v>
      </c>
      <c r="W18" s="50">
        <f>Costs!W40</f>
        <v>500</v>
      </c>
      <c r="X18" s="50">
        <f>Costs!X40</f>
        <v>500</v>
      </c>
      <c r="Y18" s="50">
        <f>Costs!Y40</f>
        <v>500</v>
      </c>
      <c r="Z18" s="50">
        <f>Costs!Z40</f>
        <v>500</v>
      </c>
      <c r="AA18" s="50">
        <f>Costs!AA40</f>
        <v>500</v>
      </c>
      <c r="AB18" s="50">
        <f>Costs!AB40</f>
        <v>500</v>
      </c>
      <c r="AC18" s="50">
        <f>Costs!AC40</f>
        <v>500</v>
      </c>
      <c r="AD18" s="50">
        <f>Costs!AD40</f>
        <v>500</v>
      </c>
      <c r="AE18" s="50">
        <f>Costs!AE40</f>
        <v>500</v>
      </c>
      <c r="AF18" s="50">
        <f>Costs!AF40</f>
        <v>500</v>
      </c>
      <c r="AG18" s="50">
        <f>Costs!AG40</f>
        <v>500</v>
      </c>
      <c r="AH18" s="50">
        <f>Costs!AH40</f>
        <v>500</v>
      </c>
      <c r="AI18" s="50">
        <f>Costs!AI40</f>
        <v>500</v>
      </c>
      <c r="AJ18" s="50">
        <f>Costs!AJ40</f>
        <v>500</v>
      </c>
      <c r="AK18" s="50">
        <f>Costs!AK40</f>
        <v>500</v>
      </c>
      <c r="AL18" s="50">
        <f>Costs!AL40</f>
        <v>500</v>
      </c>
    </row>
    <row r="19" spans="1:38" x14ac:dyDescent="0.2">
      <c r="A19" s="40" t="s">
        <v>50</v>
      </c>
      <c r="B19" s="2"/>
      <c r="C19" s="50">
        <f>Costs!C41</f>
        <v>300</v>
      </c>
      <c r="D19" s="50">
        <f>Costs!D41</f>
        <v>300</v>
      </c>
      <c r="E19" s="50">
        <f>Costs!E41</f>
        <v>300</v>
      </c>
      <c r="F19" s="50">
        <f>Costs!F41</f>
        <v>300</v>
      </c>
      <c r="G19" s="50">
        <f>Costs!G41</f>
        <v>300</v>
      </c>
      <c r="H19" s="50">
        <f>Costs!H41</f>
        <v>300</v>
      </c>
      <c r="I19" s="50">
        <f>Costs!I41</f>
        <v>300</v>
      </c>
      <c r="J19" s="50">
        <f>Costs!J41</f>
        <v>300</v>
      </c>
      <c r="K19" s="50">
        <f>Costs!K41</f>
        <v>300</v>
      </c>
      <c r="L19" s="50">
        <f>Costs!L41</f>
        <v>300</v>
      </c>
      <c r="M19" s="50">
        <f>Costs!M41</f>
        <v>300</v>
      </c>
      <c r="N19" s="50">
        <f>Costs!N41</f>
        <v>300</v>
      </c>
      <c r="O19" s="50">
        <f>Costs!O41</f>
        <v>300</v>
      </c>
      <c r="P19" s="50">
        <f>Costs!P41</f>
        <v>300</v>
      </c>
      <c r="Q19" s="50">
        <f>Costs!Q41</f>
        <v>300</v>
      </c>
      <c r="R19" s="50">
        <f>Costs!R41</f>
        <v>300</v>
      </c>
      <c r="S19" s="50">
        <f>Costs!S41</f>
        <v>300</v>
      </c>
      <c r="T19" s="50">
        <f>Costs!T41</f>
        <v>300</v>
      </c>
      <c r="U19" s="50">
        <f>Costs!U41</f>
        <v>300</v>
      </c>
      <c r="V19" s="50">
        <f>Costs!V41</f>
        <v>300</v>
      </c>
      <c r="W19" s="50">
        <f>Costs!W41</f>
        <v>300</v>
      </c>
      <c r="X19" s="50">
        <f>Costs!X41</f>
        <v>300</v>
      </c>
      <c r="Y19" s="50">
        <f>Costs!Y41</f>
        <v>300</v>
      </c>
      <c r="Z19" s="50">
        <f>Costs!Z41</f>
        <v>300</v>
      </c>
      <c r="AA19" s="50">
        <f>Costs!AA41</f>
        <v>300</v>
      </c>
      <c r="AB19" s="50">
        <f>Costs!AB41</f>
        <v>300</v>
      </c>
      <c r="AC19" s="50">
        <f>Costs!AC41</f>
        <v>300</v>
      </c>
      <c r="AD19" s="50">
        <f>Costs!AD41</f>
        <v>300</v>
      </c>
      <c r="AE19" s="50">
        <f>Costs!AE41</f>
        <v>300</v>
      </c>
      <c r="AF19" s="50">
        <f>Costs!AF41</f>
        <v>300</v>
      </c>
      <c r="AG19" s="50">
        <f>Costs!AG41</f>
        <v>300</v>
      </c>
      <c r="AH19" s="50">
        <f>Costs!AH41</f>
        <v>300</v>
      </c>
      <c r="AI19" s="50">
        <f>Costs!AI41</f>
        <v>300</v>
      </c>
      <c r="AJ19" s="50">
        <f>Costs!AJ41</f>
        <v>300</v>
      </c>
      <c r="AK19" s="50">
        <f>Costs!AK41</f>
        <v>300</v>
      </c>
      <c r="AL19" s="50">
        <f>Costs!AL41</f>
        <v>300</v>
      </c>
    </row>
    <row r="20" spans="1:38" x14ac:dyDescent="0.2">
      <c r="A20" s="40" t="s">
        <v>179</v>
      </c>
      <c r="B20" s="2"/>
      <c r="C20" s="50">
        <f>Costs!C42+Costs!C43</f>
        <v>167</v>
      </c>
      <c r="D20" s="50">
        <f>Costs!D42+Costs!D43</f>
        <v>167</v>
      </c>
      <c r="E20" s="50">
        <f>Costs!E42+Costs!E43</f>
        <v>167</v>
      </c>
      <c r="F20" s="50">
        <f>Costs!F42+Costs!F43</f>
        <v>167</v>
      </c>
      <c r="G20" s="50">
        <f>Costs!G42+Costs!G43</f>
        <v>167</v>
      </c>
      <c r="H20" s="50">
        <f>Costs!H42+Costs!H43</f>
        <v>167</v>
      </c>
      <c r="I20" s="50">
        <f>Costs!I42+Costs!I43</f>
        <v>167</v>
      </c>
      <c r="J20" s="50">
        <f>Costs!J42+Costs!J43</f>
        <v>167</v>
      </c>
      <c r="K20" s="50">
        <f>Costs!K42+Costs!K43</f>
        <v>167</v>
      </c>
      <c r="L20" s="50">
        <f>Costs!L42+Costs!L43</f>
        <v>167</v>
      </c>
      <c r="M20" s="50">
        <f>Costs!M42+Costs!M43</f>
        <v>167</v>
      </c>
      <c r="N20" s="50">
        <f>Costs!N42+Costs!N43</f>
        <v>167</v>
      </c>
      <c r="O20" s="50">
        <f>Costs!O42+Costs!O43</f>
        <v>167</v>
      </c>
      <c r="P20" s="50">
        <f>Costs!P42+Costs!P43</f>
        <v>167</v>
      </c>
      <c r="Q20" s="50">
        <f>Costs!Q42+Costs!Q43</f>
        <v>167</v>
      </c>
      <c r="R20" s="50">
        <f>Costs!R42+Costs!R43</f>
        <v>167</v>
      </c>
      <c r="S20" s="50">
        <f>Costs!S42+Costs!S43</f>
        <v>167</v>
      </c>
      <c r="T20" s="50">
        <f>Costs!T42+Costs!T43</f>
        <v>167</v>
      </c>
      <c r="U20" s="50">
        <f>Costs!U42+Costs!U43</f>
        <v>167</v>
      </c>
      <c r="V20" s="50">
        <f>Costs!V42+Costs!V43</f>
        <v>167</v>
      </c>
      <c r="W20" s="50">
        <f>Costs!W42+Costs!W43</f>
        <v>167</v>
      </c>
      <c r="X20" s="50">
        <f>Costs!X42+Costs!X43</f>
        <v>167</v>
      </c>
      <c r="Y20" s="50">
        <f>Costs!Y42+Costs!Y43</f>
        <v>167</v>
      </c>
      <c r="Z20" s="50">
        <f>Costs!Z42+Costs!Z43</f>
        <v>167</v>
      </c>
      <c r="AA20" s="50">
        <f>Costs!AA42+Costs!AA43</f>
        <v>167</v>
      </c>
      <c r="AB20" s="50">
        <f>Costs!AB42+Costs!AB43</f>
        <v>167</v>
      </c>
      <c r="AC20" s="50">
        <f>Costs!AC42+Costs!AC43</f>
        <v>167</v>
      </c>
      <c r="AD20" s="50">
        <f>Costs!AD42+Costs!AD43</f>
        <v>167</v>
      </c>
      <c r="AE20" s="50">
        <f>Costs!AE42+Costs!AE43</f>
        <v>167</v>
      </c>
      <c r="AF20" s="50">
        <f>Costs!AF42+Costs!AF43</f>
        <v>167</v>
      </c>
      <c r="AG20" s="50">
        <f>Costs!AG42+Costs!AG43</f>
        <v>167</v>
      </c>
      <c r="AH20" s="50">
        <f>Costs!AH42+Costs!AH43</f>
        <v>167</v>
      </c>
      <c r="AI20" s="50">
        <f>Costs!AI42+Costs!AI43</f>
        <v>167</v>
      </c>
      <c r="AJ20" s="50">
        <f>Costs!AJ42+Costs!AJ43</f>
        <v>167</v>
      </c>
      <c r="AK20" s="50">
        <f>Costs!AK42+Costs!AK43</f>
        <v>167</v>
      </c>
      <c r="AL20" s="50">
        <f>Costs!AL42+Costs!AL43</f>
        <v>167</v>
      </c>
    </row>
    <row r="21" spans="1:38" x14ac:dyDescent="0.2">
      <c r="A21" s="40" t="s">
        <v>180</v>
      </c>
      <c r="B21" s="2"/>
      <c r="C21" s="50">
        <f>Costs!C44+Costs!C45+Costs!C46</f>
        <v>483</v>
      </c>
      <c r="D21" s="50">
        <f>Costs!D44+Costs!D45+Costs!D46</f>
        <v>483</v>
      </c>
      <c r="E21" s="50">
        <f>Costs!E44+Costs!E45+Costs!E46</f>
        <v>483</v>
      </c>
      <c r="F21" s="50">
        <f>Costs!F44+Costs!F45+Costs!F46</f>
        <v>483</v>
      </c>
      <c r="G21" s="50">
        <f>Costs!G44+Costs!G45+Costs!G46</f>
        <v>483</v>
      </c>
      <c r="H21" s="50">
        <f>Costs!H44+Costs!H45+Costs!H46</f>
        <v>483</v>
      </c>
      <c r="I21" s="50">
        <f>Costs!I44+Costs!I45+Costs!I46</f>
        <v>483</v>
      </c>
      <c r="J21" s="50">
        <f>Costs!J44+Costs!J45+Costs!J46</f>
        <v>483</v>
      </c>
      <c r="K21" s="50">
        <f>Costs!K44+Costs!K45+Costs!K46</f>
        <v>483</v>
      </c>
      <c r="L21" s="50">
        <f>Costs!L44+Costs!L45+Costs!L46</f>
        <v>483</v>
      </c>
      <c r="M21" s="50">
        <f>Costs!M44+Costs!M45+Costs!M46</f>
        <v>483</v>
      </c>
      <c r="N21" s="50">
        <f>Costs!N44+Costs!N45+Costs!N46</f>
        <v>483</v>
      </c>
      <c r="O21" s="50">
        <f>Costs!O44+Costs!O45+Costs!O46</f>
        <v>483</v>
      </c>
      <c r="P21" s="50">
        <f>Costs!P44+Costs!P45+Costs!P46</f>
        <v>483</v>
      </c>
      <c r="Q21" s="50">
        <f>Costs!Q44+Costs!Q45+Costs!Q46</f>
        <v>483</v>
      </c>
      <c r="R21" s="50">
        <f>Costs!R44+Costs!R45+Costs!R46</f>
        <v>483</v>
      </c>
      <c r="S21" s="50">
        <f>Costs!S44+Costs!S45+Costs!S46</f>
        <v>483</v>
      </c>
      <c r="T21" s="50">
        <f>Costs!T44+Costs!T45+Costs!T46</f>
        <v>483</v>
      </c>
      <c r="U21" s="50">
        <f>Costs!U44+Costs!U45+Costs!U46</f>
        <v>483</v>
      </c>
      <c r="V21" s="50">
        <f>Costs!V44+Costs!V45+Costs!V46</f>
        <v>483</v>
      </c>
      <c r="W21" s="50">
        <f>Costs!W44+Costs!W45+Costs!W46</f>
        <v>483</v>
      </c>
      <c r="X21" s="50">
        <f>Costs!X44+Costs!X45+Costs!X46</f>
        <v>483</v>
      </c>
      <c r="Y21" s="50">
        <f>Costs!Y44+Costs!Y45+Costs!Y46</f>
        <v>483</v>
      </c>
      <c r="Z21" s="50">
        <f>Costs!Z44+Costs!Z45+Costs!Z46</f>
        <v>483</v>
      </c>
      <c r="AA21" s="50">
        <f>Costs!AA44+Costs!AA45+Costs!AA46</f>
        <v>483</v>
      </c>
      <c r="AB21" s="50">
        <f>Costs!AB44+Costs!AB45+Costs!AB46</f>
        <v>483</v>
      </c>
      <c r="AC21" s="50">
        <f>Costs!AC44+Costs!AC45+Costs!AC46</f>
        <v>483</v>
      </c>
      <c r="AD21" s="50">
        <f>Costs!AD44+Costs!AD45+Costs!AD46</f>
        <v>483</v>
      </c>
      <c r="AE21" s="50">
        <f>Costs!AE44+Costs!AE45+Costs!AE46</f>
        <v>483</v>
      </c>
      <c r="AF21" s="50">
        <f>Costs!AF44+Costs!AF45+Costs!AF46</f>
        <v>483</v>
      </c>
      <c r="AG21" s="50">
        <f>Costs!AG44+Costs!AG45+Costs!AG46</f>
        <v>483</v>
      </c>
      <c r="AH21" s="50">
        <f>Costs!AH44+Costs!AH45+Costs!AH46</f>
        <v>483</v>
      </c>
      <c r="AI21" s="50">
        <f>Costs!AI44+Costs!AI45+Costs!AI46</f>
        <v>483</v>
      </c>
      <c r="AJ21" s="50">
        <f>Costs!AJ44+Costs!AJ45+Costs!AJ46</f>
        <v>483</v>
      </c>
      <c r="AK21" s="50">
        <f>Costs!AK44+Costs!AK45+Costs!AK46</f>
        <v>483</v>
      </c>
      <c r="AL21" s="50">
        <f>Costs!AL44+Costs!AL45+Costs!AL46</f>
        <v>483</v>
      </c>
    </row>
    <row r="22" spans="1:38" x14ac:dyDescent="0.2">
      <c r="A22" s="40" t="s">
        <v>403</v>
      </c>
      <c r="B22" s="2"/>
      <c r="C22" s="50">
        <f>Costs!C47+Costs!C48+Costs!C49</f>
        <v>3000</v>
      </c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</row>
    <row r="23" spans="1:38" x14ac:dyDescent="0.2">
      <c r="A23" s="40" t="s">
        <v>142</v>
      </c>
      <c r="B23" s="2"/>
      <c r="C23" s="50">
        <f>Costs!C60</f>
        <v>1135.5101000000002</v>
      </c>
      <c r="D23" s="50">
        <f>Costs!D60</f>
        <v>877.68776350000007</v>
      </c>
      <c r="E23" s="50">
        <f>Costs!E60</f>
        <v>880.77786357250011</v>
      </c>
      <c r="F23" s="50">
        <f>Costs!F60</f>
        <v>894.19342287631252</v>
      </c>
      <c r="G23" s="50">
        <f>Costs!G60</f>
        <v>900.61213802348288</v>
      </c>
      <c r="H23" s="50">
        <f>Costs!H60</f>
        <v>906.61637001544955</v>
      </c>
      <c r="I23" s="50">
        <f>Costs!I60</f>
        <v>1145.0605900785083</v>
      </c>
      <c r="J23" s="50">
        <f>Costs!J60</f>
        <v>1627.6770835694065</v>
      </c>
      <c r="K23" s="50">
        <f>Costs!K60</f>
        <v>1641.1621423725228</v>
      </c>
      <c r="L23" s="50">
        <f>Costs!L60</f>
        <v>1656.5791594063405</v>
      </c>
      <c r="M23" s="50">
        <f>Costs!M60</f>
        <v>1673.9188652727671</v>
      </c>
      <c r="N23" s="50">
        <f>Costs!N60</f>
        <v>1692.1395269716847</v>
      </c>
      <c r="O23" s="50">
        <f>Costs!O60</f>
        <v>1960.2688555403138</v>
      </c>
      <c r="P23" s="50">
        <f>Costs!P60</f>
        <v>1992.9729630368843</v>
      </c>
      <c r="Q23" s="50">
        <f>Costs!Q60</f>
        <v>2030.0537247201833</v>
      </c>
      <c r="R23" s="50">
        <f>Costs!R60</f>
        <v>2077.4817227822246</v>
      </c>
      <c r="S23" s="50">
        <f>Costs!S60</f>
        <v>2132.322720408225</v>
      </c>
      <c r="T23" s="50">
        <f>Costs!T60</f>
        <v>2190.6565500745646</v>
      </c>
      <c r="U23" s="50">
        <f>Costs!U60</f>
        <v>2251.8187697893286</v>
      </c>
      <c r="V23" s="50">
        <f>Costs!V60</f>
        <v>2287.6757147108879</v>
      </c>
      <c r="W23" s="50">
        <f>Costs!W60</f>
        <v>2326.3976121968576</v>
      </c>
      <c r="X23" s="50">
        <f>Costs!X60</f>
        <v>2368.1976268434332</v>
      </c>
      <c r="Y23" s="50">
        <f>Costs!Y60</f>
        <v>2413.5655234672972</v>
      </c>
      <c r="Z23" s="50">
        <f>Costs!Z60</f>
        <v>2462.2198031353819</v>
      </c>
      <c r="AA23" s="50">
        <f>Costs!AA60</f>
        <v>2515.207257558659</v>
      </c>
      <c r="AB23" s="50">
        <f>Costs!AB60</f>
        <v>2558.9215023290776</v>
      </c>
      <c r="AC23" s="50">
        <f>Costs!AC60</f>
        <v>2605.1633241435029</v>
      </c>
      <c r="AD23" s="50">
        <f>Costs!AD60</f>
        <v>2669.5044019028755</v>
      </c>
      <c r="AE23" s="50">
        <f>Costs!AE60</f>
        <v>2738.8575281597641</v>
      </c>
      <c r="AF23" s="50">
        <f>Costs!AF60</f>
        <v>2813.899000461332</v>
      </c>
      <c r="AG23" s="50">
        <f>Costs!AG60</f>
        <v>2895.0404605236117</v>
      </c>
      <c r="AH23" s="50">
        <f>Costs!AH60</f>
        <v>2982.6367696942998</v>
      </c>
      <c r="AI23" s="50">
        <f>Costs!AI60</f>
        <v>3077.4328186030298</v>
      </c>
      <c r="AJ23" s="50">
        <f>Costs!AJ60</f>
        <v>3180.0397091144391</v>
      </c>
      <c r="AK23" s="50">
        <f>Costs!AK60</f>
        <v>3290.7338128448887</v>
      </c>
      <c r="AL23" s="50">
        <f>Costs!AL60</f>
        <v>3410.2337925789489</v>
      </c>
    </row>
    <row r="24" spans="1:38" x14ac:dyDescent="0.2">
      <c r="A24" s="40" t="s">
        <v>181</v>
      </c>
      <c r="B24" s="2"/>
      <c r="C24" s="50">
        <f>SUM(C15:C23)</f>
        <v>12475.5101</v>
      </c>
      <c r="D24" s="50">
        <f t="shared" ref="D24:AL24" si="3">SUM(D15:D23)</f>
        <v>9217.6877635000001</v>
      </c>
      <c r="E24" s="50">
        <f t="shared" si="3"/>
        <v>9220.7778635725008</v>
      </c>
      <c r="F24" s="50">
        <f t="shared" si="3"/>
        <v>9234.193422876313</v>
      </c>
      <c r="G24" s="50">
        <f t="shared" si="3"/>
        <v>9240.6121380234836</v>
      </c>
      <c r="H24" s="50">
        <f t="shared" si="3"/>
        <v>9246.6163700154502</v>
      </c>
      <c r="I24" s="50">
        <f t="shared" si="3"/>
        <v>9785.0605900785085</v>
      </c>
      <c r="J24" s="50">
        <f t="shared" si="3"/>
        <v>16995.677083569408</v>
      </c>
      <c r="K24" s="50">
        <f t="shared" si="3"/>
        <v>17009.162142372523</v>
      </c>
      <c r="L24" s="50">
        <f t="shared" si="3"/>
        <v>17024.579159406341</v>
      </c>
      <c r="M24" s="50">
        <f t="shared" si="3"/>
        <v>17041.918865272768</v>
      </c>
      <c r="N24" s="50">
        <f t="shared" si="3"/>
        <v>17060.139526971685</v>
      </c>
      <c r="O24" s="50">
        <f t="shared" si="3"/>
        <v>19648.268855540315</v>
      </c>
      <c r="P24" s="50">
        <f t="shared" si="3"/>
        <v>19680.972963036886</v>
      </c>
      <c r="Q24" s="50">
        <f t="shared" si="3"/>
        <v>19718.053724720183</v>
      </c>
      <c r="R24" s="50">
        <f t="shared" si="3"/>
        <v>19765.481722782224</v>
      </c>
      <c r="S24" s="50">
        <f t="shared" si="3"/>
        <v>19820.322720408225</v>
      </c>
      <c r="T24" s="50">
        <f t="shared" si="3"/>
        <v>19878.656550074564</v>
      </c>
      <c r="U24" s="50">
        <f t="shared" si="3"/>
        <v>19939.81876978933</v>
      </c>
      <c r="V24" s="50">
        <f t="shared" si="3"/>
        <v>19975.675714710887</v>
      </c>
      <c r="W24" s="50">
        <f t="shared" si="3"/>
        <v>20014.397612196859</v>
      </c>
      <c r="X24" s="50">
        <f t="shared" si="3"/>
        <v>20056.197626843434</v>
      </c>
      <c r="Y24" s="50">
        <f t="shared" si="3"/>
        <v>20101.565523467296</v>
      </c>
      <c r="Z24" s="50">
        <f t="shared" si="3"/>
        <v>20150.219803135384</v>
      </c>
      <c r="AA24" s="50">
        <f t="shared" si="3"/>
        <v>20203.207257558657</v>
      </c>
      <c r="AB24" s="50">
        <f t="shared" si="3"/>
        <v>20246.921502329078</v>
      </c>
      <c r="AC24" s="50">
        <f t="shared" si="3"/>
        <v>20293.163324143505</v>
      </c>
      <c r="AD24" s="50">
        <f t="shared" si="3"/>
        <v>20357.504401902876</v>
      </c>
      <c r="AE24" s="50">
        <f t="shared" si="3"/>
        <v>20426.857528159766</v>
      </c>
      <c r="AF24" s="50">
        <f t="shared" si="3"/>
        <v>20501.899000461333</v>
      </c>
      <c r="AG24" s="50">
        <f t="shared" si="3"/>
        <v>20583.040460523611</v>
      </c>
      <c r="AH24" s="50">
        <f t="shared" si="3"/>
        <v>20670.636769694298</v>
      </c>
      <c r="AI24" s="50">
        <f t="shared" si="3"/>
        <v>20765.432818603029</v>
      </c>
      <c r="AJ24" s="50">
        <f t="shared" si="3"/>
        <v>20868.03970911444</v>
      </c>
      <c r="AK24" s="50">
        <f t="shared" si="3"/>
        <v>20978.73381284489</v>
      </c>
      <c r="AL24" s="50">
        <f t="shared" si="3"/>
        <v>21098.233792578947</v>
      </c>
    </row>
    <row r="25" spans="1:38" x14ac:dyDescent="0.2">
      <c r="A25" s="59" t="s">
        <v>368</v>
      </c>
      <c r="B25" s="60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</row>
    <row r="26" spans="1:38" x14ac:dyDescent="0.2">
      <c r="A26" s="40" t="s">
        <v>140</v>
      </c>
      <c r="B26" s="2"/>
      <c r="C26" s="50">
        <f>Costs!C53</f>
        <v>7000</v>
      </c>
      <c r="D26" s="50">
        <f>Costs!D53</f>
        <v>0</v>
      </c>
      <c r="E26" s="50">
        <f>Costs!E53</f>
        <v>0</v>
      </c>
      <c r="F26" s="50">
        <f>Costs!F53</f>
        <v>0</v>
      </c>
      <c r="G26" s="50">
        <f>Costs!G53</f>
        <v>0</v>
      </c>
      <c r="H26" s="50">
        <f>Costs!H53</f>
        <v>0</v>
      </c>
      <c r="I26" s="50">
        <f>Costs!I53</f>
        <v>0</v>
      </c>
      <c r="J26" s="50">
        <f>Costs!J53</f>
        <v>0</v>
      </c>
      <c r="K26" s="50">
        <f>Costs!K53</f>
        <v>0</v>
      </c>
      <c r="L26" s="50">
        <f>Costs!L53</f>
        <v>0</v>
      </c>
      <c r="M26" s="50">
        <f>Costs!M53</f>
        <v>0</v>
      </c>
      <c r="N26" s="50">
        <f>Costs!N53</f>
        <v>0</v>
      </c>
      <c r="O26" s="50">
        <f>Costs!O53</f>
        <v>0</v>
      </c>
      <c r="P26" s="50">
        <f>Costs!P53</f>
        <v>0</v>
      </c>
      <c r="Q26" s="50">
        <f>Costs!Q53</f>
        <v>0</v>
      </c>
      <c r="R26" s="50">
        <f>Costs!R53</f>
        <v>0</v>
      </c>
      <c r="S26" s="50">
        <f>Costs!S53</f>
        <v>0</v>
      </c>
      <c r="T26" s="50">
        <f>Costs!T53</f>
        <v>0</v>
      </c>
      <c r="U26" s="50">
        <f>Costs!U53</f>
        <v>0</v>
      </c>
      <c r="V26" s="50">
        <f>Costs!V53</f>
        <v>0</v>
      </c>
      <c r="W26" s="50">
        <f>Costs!W53</f>
        <v>0</v>
      </c>
      <c r="X26" s="50">
        <f>Costs!X53</f>
        <v>0</v>
      </c>
      <c r="Y26" s="50">
        <f>Costs!Y53</f>
        <v>0</v>
      </c>
      <c r="Z26" s="50">
        <f>Costs!Z53</f>
        <v>0</v>
      </c>
      <c r="AA26" s="50">
        <f>Costs!AA53</f>
        <v>0</v>
      </c>
      <c r="AB26" s="50">
        <f>Costs!AB53</f>
        <v>0</v>
      </c>
      <c r="AC26" s="50">
        <f>Costs!AC53</f>
        <v>0</v>
      </c>
      <c r="AD26" s="50">
        <f>Costs!AD53</f>
        <v>0</v>
      </c>
      <c r="AE26" s="50">
        <f>Costs!AE53</f>
        <v>0</v>
      </c>
      <c r="AF26" s="50">
        <f>Costs!AF53</f>
        <v>0</v>
      </c>
      <c r="AG26" s="50">
        <f>Costs!AG53</f>
        <v>0</v>
      </c>
      <c r="AH26" s="50">
        <f>Costs!AH53</f>
        <v>0</v>
      </c>
      <c r="AI26" s="50">
        <f>Costs!AI53</f>
        <v>0</v>
      </c>
      <c r="AJ26" s="50">
        <f>Costs!AJ53</f>
        <v>0</v>
      </c>
      <c r="AK26" s="50">
        <f>Costs!AK53</f>
        <v>0</v>
      </c>
      <c r="AL26" s="50">
        <f>Costs!AL53</f>
        <v>0</v>
      </c>
    </row>
    <row r="27" spans="1:38" x14ac:dyDescent="0.2">
      <c r="A27" s="40" t="s">
        <v>58</v>
      </c>
      <c r="B27" s="2"/>
      <c r="C27" s="50">
        <f>Costs!C54</f>
        <v>5000</v>
      </c>
      <c r="D27" s="50">
        <f>Costs!D54</f>
        <v>5000</v>
      </c>
      <c r="E27" s="50">
        <f>Costs!E54</f>
        <v>0</v>
      </c>
      <c r="F27" s="50">
        <f>Costs!F54</f>
        <v>0</v>
      </c>
      <c r="G27" s="50">
        <f>Costs!G54</f>
        <v>0</v>
      </c>
      <c r="H27" s="50">
        <f>Costs!H54</f>
        <v>0</v>
      </c>
      <c r="I27" s="50">
        <f>Costs!I54</f>
        <v>0</v>
      </c>
      <c r="J27" s="50">
        <f>Costs!J54</f>
        <v>0</v>
      </c>
      <c r="K27" s="50">
        <f>Costs!K54</f>
        <v>0</v>
      </c>
      <c r="L27" s="50">
        <f>Costs!L54</f>
        <v>0</v>
      </c>
      <c r="M27" s="50">
        <f>Costs!M54</f>
        <v>0</v>
      </c>
      <c r="N27" s="50">
        <f>Costs!N54</f>
        <v>0</v>
      </c>
      <c r="O27" s="50">
        <f>Costs!O54</f>
        <v>0</v>
      </c>
      <c r="P27" s="50">
        <f>Costs!P54</f>
        <v>0</v>
      </c>
      <c r="Q27" s="50">
        <f>Costs!Q54</f>
        <v>0</v>
      </c>
      <c r="R27" s="50">
        <f>Costs!R54</f>
        <v>0</v>
      </c>
      <c r="S27" s="50">
        <f>Costs!S54</f>
        <v>0</v>
      </c>
      <c r="T27" s="50">
        <f>Costs!T54</f>
        <v>0</v>
      </c>
      <c r="U27" s="50">
        <f>Costs!U54</f>
        <v>0</v>
      </c>
      <c r="V27" s="50">
        <f>Costs!V54</f>
        <v>0</v>
      </c>
      <c r="W27" s="50">
        <f>Costs!W54</f>
        <v>0</v>
      </c>
      <c r="X27" s="50">
        <f>Costs!X54</f>
        <v>0</v>
      </c>
      <c r="Y27" s="50">
        <f>Costs!Y54</f>
        <v>0</v>
      </c>
      <c r="Z27" s="50">
        <f>Costs!Z54</f>
        <v>0</v>
      </c>
      <c r="AA27" s="50">
        <f>Costs!AA54</f>
        <v>0</v>
      </c>
      <c r="AB27" s="50">
        <f>Costs!AB54</f>
        <v>0</v>
      </c>
      <c r="AC27" s="50">
        <f>Costs!AC54</f>
        <v>0</v>
      </c>
      <c r="AD27" s="50">
        <f>Costs!AD54</f>
        <v>0</v>
      </c>
      <c r="AE27" s="50">
        <f>Costs!AE54</f>
        <v>0</v>
      </c>
      <c r="AF27" s="50">
        <f>Costs!AF54</f>
        <v>0</v>
      </c>
      <c r="AG27" s="50">
        <f>Costs!AG54</f>
        <v>0</v>
      </c>
      <c r="AH27" s="50">
        <f>Costs!AH54</f>
        <v>0</v>
      </c>
      <c r="AI27" s="50">
        <f>Costs!AI54</f>
        <v>0</v>
      </c>
      <c r="AJ27" s="50">
        <f>Costs!AJ54</f>
        <v>0</v>
      </c>
      <c r="AK27" s="50">
        <f>Costs!AK54</f>
        <v>0</v>
      </c>
      <c r="AL27" s="50">
        <f>Costs!AL54</f>
        <v>0</v>
      </c>
    </row>
    <row r="28" spans="1:38" x14ac:dyDescent="0.2">
      <c r="A28" s="40" t="s">
        <v>59</v>
      </c>
      <c r="B28" s="2"/>
      <c r="C28" s="50">
        <f>Costs!C55</f>
        <v>3000</v>
      </c>
      <c r="D28" s="50">
        <f>Costs!D55</f>
        <v>0</v>
      </c>
      <c r="E28" s="50">
        <f>Costs!E55</f>
        <v>5000</v>
      </c>
      <c r="F28" s="50">
        <f>Costs!F55</f>
        <v>0</v>
      </c>
      <c r="G28" s="50">
        <f>Costs!G55</f>
        <v>0</v>
      </c>
      <c r="H28" s="50">
        <f>Costs!H55</f>
        <v>0</v>
      </c>
      <c r="I28" s="50">
        <f>Costs!I55</f>
        <v>0</v>
      </c>
      <c r="J28" s="50">
        <f>Costs!J55</f>
        <v>0</v>
      </c>
      <c r="K28" s="50">
        <f>Costs!K55</f>
        <v>0</v>
      </c>
      <c r="L28" s="50">
        <f>Costs!L55</f>
        <v>0</v>
      </c>
      <c r="M28" s="50">
        <f>Costs!M55</f>
        <v>0</v>
      </c>
      <c r="N28" s="50">
        <f>Costs!N55</f>
        <v>0</v>
      </c>
      <c r="O28" s="50">
        <f>Costs!O55</f>
        <v>0</v>
      </c>
      <c r="P28" s="50">
        <f>Costs!P55</f>
        <v>0</v>
      </c>
      <c r="Q28" s="50">
        <f>Costs!Q55</f>
        <v>0</v>
      </c>
      <c r="R28" s="50">
        <f>Costs!R55</f>
        <v>0</v>
      </c>
      <c r="S28" s="50">
        <f>Costs!S55</f>
        <v>0</v>
      </c>
      <c r="T28" s="50">
        <f>Costs!T55</f>
        <v>0</v>
      </c>
      <c r="U28" s="50">
        <f>Costs!U55</f>
        <v>0</v>
      </c>
      <c r="V28" s="50">
        <f>Costs!V55</f>
        <v>0</v>
      </c>
      <c r="W28" s="50">
        <f>Costs!W55</f>
        <v>0</v>
      </c>
      <c r="X28" s="50">
        <f>Costs!X55</f>
        <v>0</v>
      </c>
      <c r="Y28" s="50">
        <f>Costs!Y55</f>
        <v>0</v>
      </c>
      <c r="Z28" s="50">
        <f>Costs!Z55</f>
        <v>0</v>
      </c>
      <c r="AA28" s="50">
        <f>Costs!AA55</f>
        <v>0</v>
      </c>
      <c r="AB28" s="50">
        <f>Costs!AB55</f>
        <v>0</v>
      </c>
      <c r="AC28" s="50">
        <f>Costs!AC55</f>
        <v>0</v>
      </c>
      <c r="AD28" s="50">
        <f>Costs!AD55</f>
        <v>0</v>
      </c>
      <c r="AE28" s="50">
        <f>Costs!AE55</f>
        <v>0</v>
      </c>
      <c r="AF28" s="50">
        <f>Costs!AF55</f>
        <v>0</v>
      </c>
      <c r="AG28" s="50">
        <f>Costs!AG55</f>
        <v>0</v>
      </c>
      <c r="AH28" s="50">
        <f>Costs!AH55</f>
        <v>0</v>
      </c>
      <c r="AI28" s="50">
        <f>Costs!AI55</f>
        <v>0</v>
      </c>
      <c r="AJ28" s="50">
        <f>Costs!AJ55</f>
        <v>0</v>
      </c>
      <c r="AK28" s="50">
        <f>Costs!AK55</f>
        <v>0</v>
      </c>
      <c r="AL28" s="50">
        <f>Costs!AL55</f>
        <v>0</v>
      </c>
    </row>
    <row r="29" spans="1:38" x14ac:dyDescent="0.2">
      <c r="A29" s="40" t="s">
        <v>257</v>
      </c>
      <c r="B29" s="2"/>
      <c r="C29" s="50">
        <f>Costs!C56</f>
        <v>5000</v>
      </c>
      <c r="D29" s="50">
        <f>Costs!D56</f>
        <v>0</v>
      </c>
      <c r="E29" s="50">
        <f>Costs!E56</f>
        <v>0</v>
      </c>
      <c r="F29" s="50">
        <f>Costs!F56</f>
        <v>0</v>
      </c>
      <c r="G29" s="50">
        <f>Costs!G56</f>
        <v>0</v>
      </c>
      <c r="H29" s="50">
        <f>Costs!H56</f>
        <v>0</v>
      </c>
      <c r="I29" s="50">
        <f>Costs!I56</f>
        <v>0</v>
      </c>
      <c r="J29" s="50">
        <f>Costs!J56</f>
        <v>0</v>
      </c>
      <c r="K29" s="50">
        <f>Costs!K56</f>
        <v>0</v>
      </c>
      <c r="L29" s="50">
        <f>Costs!L56</f>
        <v>0</v>
      </c>
      <c r="M29" s="50">
        <f>Costs!M56</f>
        <v>0</v>
      </c>
      <c r="N29" s="50">
        <f>Costs!N56</f>
        <v>0</v>
      </c>
      <c r="O29" s="50">
        <f>Costs!O56</f>
        <v>0</v>
      </c>
      <c r="P29" s="50">
        <f>Costs!P56</f>
        <v>0</v>
      </c>
      <c r="Q29" s="50">
        <f>Costs!Q56</f>
        <v>0</v>
      </c>
      <c r="R29" s="50">
        <f>Costs!R56</f>
        <v>0</v>
      </c>
      <c r="S29" s="50">
        <f>Costs!S56</f>
        <v>0</v>
      </c>
      <c r="T29" s="50">
        <f>Costs!T56</f>
        <v>0</v>
      </c>
      <c r="U29" s="50">
        <f>Costs!U56</f>
        <v>0</v>
      </c>
      <c r="V29" s="50">
        <f>Costs!V56</f>
        <v>0</v>
      </c>
      <c r="W29" s="50">
        <f>Costs!W56</f>
        <v>0</v>
      </c>
      <c r="X29" s="50">
        <f>Costs!X56</f>
        <v>0</v>
      </c>
      <c r="Y29" s="50">
        <f>Costs!Y56</f>
        <v>0</v>
      </c>
      <c r="Z29" s="50">
        <f>Costs!Z56</f>
        <v>0</v>
      </c>
      <c r="AA29" s="50">
        <f>Costs!AA56</f>
        <v>0</v>
      </c>
      <c r="AB29" s="50">
        <f>Costs!AB56</f>
        <v>0</v>
      </c>
      <c r="AC29" s="50">
        <f>Costs!AC56</f>
        <v>0</v>
      </c>
      <c r="AD29" s="50">
        <f>Costs!AD56</f>
        <v>0</v>
      </c>
      <c r="AE29" s="50">
        <f>Costs!AE56</f>
        <v>0</v>
      </c>
      <c r="AF29" s="50">
        <f>Costs!AF56</f>
        <v>0</v>
      </c>
      <c r="AG29" s="50">
        <f>Costs!AG56</f>
        <v>0</v>
      </c>
      <c r="AH29" s="50">
        <f>Costs!AH56</f>
        <v>0</v>
      </c>
      <c r="AI29" s="50">
        <f>Costs!AI56</f>
        <v>0</v>
      </c>
      <c r="AJ29" s="50">
        <f>Costs!AJ56</f>
        <v>0</v>
      </c>
      <c r="AK29" s="50">
        <f>Costs!AK56</f>
        <v>0</v>
      </c>
      <c r="AL29" s="50">
        <f>Costs!AL56</f>
        <v>0</v>
      </c>
    </row>
    <row r="30" spans="1:38" x14ac:dyDescent="0.2">
      <c r="A30" s="40" t="s">
        <v>60</v>
      </c>
      <c r="B30" s="2"/>
      <c r="C30" s="50">
        <f>Costs!C57</f>
        <v>8000</v>
      </c>
      <c r="D30" s="50">
        <f>Costs!D57</f>
        <v>0</v>
      </c>
      <c r="E30" s="50">
        <f>Costs!E57</f>
        <v>0</v>
      </c>
      <c r="F30" s="50">
        <f>Costs!F57</f>
        <v>0</v>
      </c>
      <c r="G30" s="50">
        <f>Costs!G57</f>
        <v>0</v>
      </c>
      <c r="H30" s="50">
        <f>Costs!H57</f>
        <v>0</v>
      </c>
      <c r="I30" s="50">
        <f>Costs!I57</f>
        <v>0</v>
      </c>
      <c r="J30" s="50">
        <f>Costs!J57</f>
        <v>0</v>
      </c>
      <c r="K30" s="50">
        <f>Costs!K57</f>
        <v>0</v>
      </c>
      <c r="L30" s="50">
        <f>Costs!L57</f>
        <v>0</v>
      </c>
      <c r="M30" s="50">
        <f>Costs!M57</f>
        <v>0</v>
      </c>
      <c r="N30" s="50">
        <f>Costs!N57</f>
        <v>0</v>
      </c>
      <c r="O30" s="50">
        <f>Costs!O57</f>
        <v>0</v>
      </c>
      <c r="P30" s="50">
        <f>Costs!P57</f>
        <v>0</v>
      </c>
      <c r="Q30" s="50">
        <f>Costs!Q57</f>
        <v>0</v>
      </c>
      <c r="R30" s="50">
        <f>Costs!R57</f>
        <v>0</v>
      </c>
      <c r="S30" s="50">
        <f>Costs!S57</f>
        <v>0</v>
      </c>
      <c r="T30" s="50">
        <f>Costs!T57</f>
        <v>0</v>
      </c>
      <c r="U30" s="50">
        <f>Costs!U57</f>
        <v>0</v>
      </c>
      <c r="V30" s="50">
        <f>Costs!V57</f>
        <v>0</v>
      </c>
      <c r="W30" s="50">
        <f>Costs!W57</f>
        <v>0</v>
      </c>
      <c r="X30" s="50">
        <f>Costs!X57</f>
        <v>0</v>
      </c>
      <c r="Y30" s="50">
        <f>Costs!Y57</f>
        <v>0</v>
      </c>
      <c r="Z30" s="50">
        <f>Costs!Z57</f>
        <v>0</v>
      </c>
      <c r="AA30" s="50">
        <f>Costs!AA57</f>
        <v>0</v>
      </c>
      <c r="AB30" s="50">
        <f>Costs!AB57</f>
        <v>0</v>
      </c>
      <c r="AC30" s="50">
        <f>Costs!AC57</f>
        <v>0</v>
      </c>
      <c r="AD30" s="50">
        <f>Costs!AD57</f>
        <v>0</v>
      </c>
      <c r="AE30" s="50">
        <f>Costs!AE57</f>
        <v>0</v>
      </c>
      <c r="AF30" s="50">
        <f>Costs!AF57</f>
        <v>0</v>
      </c>
      <c r="AG30" s="50">
        <f>Costs!AG57</f>
        <v>0</v>
      </c>
      <c r="AH30" s="50">
        <f>Costs!AH57</f>
        <v>0</v>
      </c>
      <c r="AI30" s="50">
        <f>Costs!AI57</f>
        <v>0</v>
      </c>
      <c r="AJ30" s="50">
        <f>Costs!AJ57</f>
        <v>0</v>
      </c>
      <c r="AK30" s="50">
        <f>Costs!AK57</f>
        <v>0</v>
      </c>
      <c r="AL30" s="50">
        <f>Costs!AL57</f>
        <v>0</v>
      </c>
    </row>
    <row r="31" spans="1:38" ht="17" thickBot="1" x14ac:dyDescent="0.25">
      <c r="A31" s="40" t="s">
        <v>141</v>
      </c>
      <c r="B31" s="2"/>
      <c r="C31" s="50">
        <f>Costs!C58</f>
        <v>28000</v>
      </c>
      <c r="D31" s="50">
        <f>Costs!D58</f>
        <v>5000</v>
      </c>
      <c r="E31" s="50">
        <f>Costs!E58</f>
        <v>5000</v>
      </c>
      <c r="F31" s="50">
        <f>Costs!F58</f>
        <v>0</v>
      </c>
      <c r="G31" s="50">
        <f>Costs!G58</f>
        <v>0</v>
      </c>
      <c r="H31" s="50">
        <f>Costs!H58</f>
        <v>0</v>
      </c>
      <c r="I31" s="50">
        <f>Costs!I58</f>
        <v>0</v>
      </c>
      <c r="J31" s="50">
        <f>Costs!J58</f>
        <v>0</v>
      </c>
      <c r="K31" s="50">
        <f>Costs!K58</f>
        <v>0</v>
      </c>
      <c r="L31" s="50">
        <f>Costs!L58</f>
        <v>0</v>
      </c>
      <c r="M31" s="50">
        <f>Costs!M58</f>
        <v>0</v>
      </c>
      <c r="N31" s="50">
        <f>Costs!N58</f>
        <v>0</v>
      </c>
      <c r="O31" s="50">
        <f>Costs!O58</f>
        <v>0</v>
      </c>
      <c r="P31" s="50">
        <f>Costs!P58</f>
        <v>0</v>
      </c>
      <c r="Q31" s="50">
        <f>Costs!Q58</f>
        <v>0</v>
      </c>
      <c r="R31" s="50">
        <f>Costs!R58</f>
        <v>0</v>
      </c>
      <c r="S31" s="50">
        <f>Costs!S58</f>
        <v>0</v>
      </c>
      <c r="T31" s="50">
        <f>Costs!T58</f>
        <v>0</v>
      </c>
      <c r="U31" s="50">
        <f>Costs!U58</f>
        <v>0</v>
      </c>
      <c r="V31" s="50">
        <f>Costs!V58</f>
        <v>0</v>
      </c>
      <c r="W31" s="50">
        <f>Costs!W58</f>
        <v>0</v>
      </c>
      <c r="X31" s="50">
        <f>Costs!X58</f>
        <v>0</v>
      </c>
      <c r="Y31" s="50">
        <f>Costs!Y58</f>
        <v>0</v>
      </c>
      <c r="Z31" s="50">
        <f>Costs!Z58</f>
        <v>0</v>
      </c>
      <c r="AA31" s="50">
        <f>Costs!AA58</f>
        <v>0</v>
      </c>
      <c r="AB31" s="50">
        <f>Costs!AB58</f>
        <v>0</v>
      </c>
      <c r="AC31" s="50">
        <f>Costs!AC58</f>
        <v>0</v>
      </c>
      <c r="AD31" s="50">
        <f>Costs!AD58</f>
        <v>0</v>
      </c>
      <c r="AE31" s="50">
        <f>Costs!AE58</f>
        <v>0</v>
      </c>
      <c r="AF31" s="50">
        <f>Costs!AF58</f>
        <v>0</v>
      </c>
      <c r="AG31" s="50">
        <f>Costs!AG58</f>
        <v>0</v>
      </c>
      <c r="AH31" s="50">
        <f>Costs!AH58</f>
        <v>0</v>
      </c>
      <c r="AI31" s="50">
        <f>Costs!AI58</f>
        <v>0</v>
      </c>
      <c r="AJ31" s="50">
        <f>Costs!AJ58</f>
        <v>0</v>
      </c>
      <c r="AK31" s="50">
        <f>Costs!AK58</f>
        <v>0</v>
      </c>
      <c r="AL31" s="50">
        <f>Costs!AL58</f>
        <v>0</v>
      </c>
    </row>
    <row r="32" spans="1:38" ht="17" thickTop="1" x14ac:dyDescent="0.2">
      <c r="A32" s="122" t="s">
        <v>182</v>
      </c>
      <c r="B32" s="123"/>
      <c r="C32" s="124">
        <f>C11+C24+C31</f>
        <v>40490.611100000002</v>
      </c>
      <c r="D32" s="124">
        <f t="shared" ref="D32:AL32" si="4">D11+D24+D31</f>
        <v>14254.565398500001</v>
      </c>
      <c r="E32" s="124">
        <f t="shared" si="4"/>
        <v>14288.556499297501</v>
      </c>
      <c r="F32" s="124">
        <f t="shared" si="4"/>
        <v>9436.1276516394373</v>
      </c>
      <c r="G32" s="124">
        <f t="shared" si="4"/>
        <v>9506.733518258312</v>
      </c>
      <c r="H32" s="124">
        <f t="shared" si="4"/>
        <v>9572.7800701699452</v>
      </c>
      <c r="I32" s="124">
        <f t="shared" si="4"/>
        <v>10195.666490863592</v>
      </c>
      <c r="J32" s="124">
        <f t="shared" si="4"/>
        <v>17504.447919263472</v>
      </c>
      <c r="K32" s="124">
        <f t="shared" si="4"/>
        <v>17652.783566097751</v>
      </c>
      <c r="L32" s="124">
        <f t="shared" si="4"/>
        <v>17822.370753469746</v>
      </c>
      <c r="M32" s="124">
        <f t="shared" si="4"/>
        <v>18013.107518000437</v>
      </c>
      <c r="N32" s="124">
        <f t="shared" si="4"/>
        <v>18213.534796688531</v>
      </c>
      <c r="O32" s="124">
        <f t="shared" si="4"/>
        <v>21162.957410943451</v>
      </c>
      <c r="P32" s="124">
        <f t="shared" si="4"/>
        <v>21522.702593405727</v>
      </c>
      <c r="Q32" s="124">
        <f t="shared" si="4"/>
        <v>21930.590971922014</v>
      </c>
      <c r="R32" s="124">
        <f t="shared" si="4"/>
        <v>22452.298950604469</v>
      </c>
      <c r="S32" s="124">
        <f t="shared" si="4"/>
        <v>23055.549924490475</v>
      </c>
      <c r="T32" s="124">
        <f t="shared" si="4"/>
        <v>23697.222050820208</v>
      </c>
      <c r="U32" s="124">
        <f t="shared" si="4"/>
        <v>24370.006467682615</v>
      </c>
      <c r="V32" s="124">
        <f t="shared" si="4"/>
        <v>24764.432861819765</v>
      </c>
      <c r="W32" s="124">
        <f t="shared" si="4"/>
        <v>25190.373734165434</v>
      </c>
      <c r="X32" s="124">
        <f t="shared" si="4"/>
        <v>25650.173895277767</v>
      </c>
      <c r="Y32" s="124">
        <f t="shared" si="4"/>
        <v>26149.220758140265</v>
      </c>
      <c r="Z32" s="124">
        <f t="shared" si="4"/>
        <v>26684.417834489203</v>
      </c>
      <c r="AA32" s="124">
        <f t="shared" si="4"/>
        <v>27267.279833145243</v>
      </c>
      <c r="AB32" s="124">
        <f t="shared" si="4"/>
        <v>27748.136525619851</v>
      </c>
      <c r="AC32" s="124">
        <f t="shared" si="4"/>
        <v>28256.796565578534</v>
      </c>
      <c r="AD32" s="124">
        <f t="shared" si="4"/>
        <v>28964.548420931635</v>
      </c>
      <c r="AE32" s="124">
        <f t="shared" si="4"/>
        <v>29727.432809757403</v>
      </c>
      <c r="AF32" s="124">
        <f t="shared" si="4"/>
        <v>30552.889005074652</v>
      </c>
      <c r="AG32" s="124">
        <f t="shared" si="4"/>
        <v>31445.445065759726</v>
      </c>
      <c r="AH32" s="124">
        <f t="shared" si="4"/>
        <v>32409.004466637292</v>
      </c>
      <c r="AI32" s="124">
        <f t="shared" si="4"/>
        <v>33451.761004633328</v>
      </c>
      <c r="AJ32" s="124">
        <f t="shared" si="4"/>
        <v>34580.436800258831</v>
      </c>
      <c r="AK32" s="124">
        <f t="shared" si="4"/>
        <v>35798.071941293776</v>
      </c>
      <c r="AL32" s="124">
        <f t="shared" si="4"/>
        <v>37112.571718368432</v>
      </c>
    </row>
    <row r="33" spans="1:38" x14ac:dyDescent="0.2">
      <c r="A33" s="59" t="s">
        <v>392</v>
      </c>
      <c r="B33" s="60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</row>
    <row r="34" spans="1:38" x14ac:dyDescent="0.2">
      <c r="A34" s="93" t="s">
        <v>183</v>
      </c>
      <c r="B34" s="94"/>
      <c r="C34" s="96">
        <f>C5-C11-C24</f>
        <v>-12423.6811</v>
      </c>
      <c r="D34" s="96">
        <f t="shared" ref="D34:AL34" si="5">D5-D11-D24</f>
        <v>-9130.0998485</v>
      </c>
      <c r="E34" s="96">
        <f t="shared" si="5"/>
        <v>-9087.2645000475004</v>
      </c>
      <c r="F34" s="96">
        <f t="shared" si="5"/>
        <v>-7198.5229525581881</v>
      </c>
      <c r="G34" s="96">
        <f t="shared" si="5"/>
        <v>-6547.8542618837801</v>
      </c>
      <c r="H34" s="96">
        <f t="shared" si="5"/>
        <v>-5965.6792110721999</v>
      </c>
      <c r="I34" s="96">
        <f t="shared" si="5"/>
        <v>-5646.4368216644962</v>
      </c>
      <c r="J34" s="96">
        <f t="shared" si="5"/>
        <v>-11862.736042051558</v>
      </c>
      <c r="K34" s="96">
        <f t="shared" si="5"/>
        <v>-10544.437016513155</v>
      </c>
      <c r="L34" s="96">
        <f t="shared" si="5"/>
        <v>-8999.0707302286173</v>
      </c>
      <c r="M34" s="96">
        <f t="shared" si="5"/>
        <v>-7299.0914895300575</v>
      </c>
      <c r="N34" s="96">
        <f t="shared" si="5"/>
        <v>-5489.7820660685466</v>
      </c>
      <c r="O34" s="96">
        <f t="shared" si="5"/>
        <v>-2865.0648159339689</v>
      </c>
      <c r="P34" s="96">
        <f t="shared" si="5"/>
        <v>731.53533548088308</v>
      </c>
      <c r="Q34" s="96">
        <f t="shared" si="5"/>
        <v>4761.508990964081</v>
      </c>
      <c r="R34" s="96">
        <f t="shared" si="5"/>
        <v>10049.486503930999</v>
      </c>
      <c r="S34" s="96">
        <f t="shared" si="5"/>
        <v>16032.510257315462</v>
      </c>
      <c r="T34" s="96">
        <f t="shared" si="5"/>
        <v>22419.531849437684</v>
      </c>
      <c r="U34" s="96">
        <f t="shared" si="5"/>
        <v>29154.884744826355</v>
      </c>
      <c r="V34" s="96">
        <f t="shared" si="5"/>
        <v>33089.500964377919</v>
      </c>
      <c r="W34" s="96">
        <f t="shared" si="5"/>
        <v>37350.867958568939</v>
      </c>
      <c r="X34" s="96">
        <f t="shared" si="5"/>
        <v>41924.129525975746</v>
      </c>
      <c r="Y34" s="96">
        <f t="shared" si="5"/>
        <v>46938.951724982478</v>
      </c>
      <c r="Z34" s="96">
        <f t="shared" si="5"/>
        <v>52228.144133855116</v>
      </c>
      <c r="AA34" s="96">
        <f t="shared" si="5"/>
        <v>58081.781300925541</v>
      </c>
      <c r="AB34" s="96">
        <f t="shared" si="5"/>
        <v>62888.712361550482</v>
      </c>
      <c r="AC34" s="96">
        <f t="shared" si="5"/>
        <v>67949.323621359785</v>
      </c>
      <c r="AD34" s="96">
        <f t="shared" si="5"/>
        <v>75010.807691243361</v>
      </c>
      <c r="AE34" s="96">
        <f t="shared" si="5"/>
        <v>82625.693977561197</v>
      </c>
      <c r="AF34" s="96">
        <f t="shared" si="5"/>
        <v>90865.775698531972</v>
      </c>
      <c r="AG34" s="96">
        <f t="shared" si="5"/>
        <v>99783.822872833814</v>
      </c>
      <c r="AH34" s="96">
        <f t="shared" si="5"/>
        <v>109387.73174366637</v>
      </c>
      <c r="AI34" s="96">
        <f t="shared" si="5"/>
        <v>119799.94509406132</v>
      </c>
      <c r="AJ34" s="96">
        <f t="shared" si="5"/>
        <v>131083.62762175963</v>
      </c>
      <c r="AK34" s="96">
        <f t="shared" si="5"/>
        <v>143249.09107769717</v>
      </c>
      <c r="AL34" s="96">
        <f t="shared" si="5"/>
        <v>156362.64780818627</v>
      </c>
    </row>
    <row r="35" spans="1:38" x14ac:dyDescent="0.2">
      <c r="A35" s="40" t="s">
        <v>184</v>
      </c>
      <c r="B35" s="2"/>
      <c r="C35" s="50">
        <f>C5-C32</f>
        <v>-40423.681100000002</v>
      </c>
      <c r="D35" s="50">
        <f t="shared" ref="D35:AL35" si="6">D5-D32</f>
        <v>-14130.099848500002</v>
      </c>
      <c r="E35" s="50">
        <f t="shared" si="6"/>
        <v>-14087.264500047502</v>
      </c>
      <c r="F35" s="50">
        <f t="shared" si="6"/>
        <v>-7198.5229525581872</v>
      </c>
      <c r="G35" s="50">
        <f t="shared" si="6"/>
        <v>-6547.854261883781</v>
      </c>
      <c r="H35" s="50">
        <f t="shared" si="6"/>
        <v>-5965.6792110722017</v>
      </c>
      <c r="I35" s="50">
        <f t="shared" si="6"/>
        <v>-5646.4368216644962</v>
      </c>
      <c r="J35" s="50">
        <f t="shared" si="6"/>
        <v>-11862.736042051558</v>
      </c>
      <c r="K35" s="50">
        <f t="shared" si="6"/>
        <v>-10544.437016513155</v>
      </c>
      <c r="L35" s="50">
        <f t="shared" si="6"/>
        <v>-8999.0707302286191</v>
      </c>
      <c r="M35" s="50">
        <f t="shared" si="6"/>
        <v>-7299.0914895300557</v>
      </c>
      <c r="N35" s="50">
        <f t="shared" si="6"/>
        <v>-5489.7820660685466</v>
      </c>
      <c r="O35" s="50">
        <f t="shared" si="6"/>
        <v>-2865.0648159339689</v>
      </c>
      <c r="P35" s="50">
        <f t="shared" si="6"/>
        <v>731.53533548088308</v>
      </c>
      <c r="Q35" s="50">
        <f t="shared" si="6"/>
        <v>4761.508990964081</v>
      </c>
      <c r="R35" s="50">
        <f t="shared" si="6"/>
        <v>10049.486503930999</v>
      </c>
      <c r="S35" s="50">
        <f t="shared" si="6"/>
        <v>16032.510257315462</v>
      </c>
      <c r="T35" s="50">
        <f t="shared" si="6"/>
        <v>22419.531849437684</v>
      </c>
      <c r="U35" s="50">
        <f t="shared" si="6"/>
        <v>29154.884744826355</v>
      </c>
      <c r="V35" s="50">
        <f t="shared" si="6"/>
        <v>33089.500964377919</v>
      </c>
      <c r="W35" s="50">
        <f t="shared" si="6"/>
        <v>37350.867958568939</v>
      </c>
      <c r="X35" s="50">
        <f t="shared" si="6"/>
        <v>41924.129525975746</v>
      </c>
      <c r="Y35" s="50">
        <f t="shared" si="6"/>
        <v>46938.951724982486</v>
      </c>
      <c r="Z35" s="50">
        <f t="shared" si="6"/>
        <v>52228.144133855123</v>
      </c>
      <c r="AA35" s="50">
        <f t="shared" si="6"/>
        <v>58081.781300925541</v>
      </c>
      <c r="AB35" s="50">
        <f t="shared" si="6"/>
        <v>62888.712361550482</v>
      </c>
      <c r="AC35" s="50">
        <f t="shared" si="6"/>
        <v>67949.323621359785</v>
      </c>
      <c r="AD35" s="50">
        <f t="shared" si="6"/>
        <v>75010.807691243361</v>
      </c>
      <c r="AE35" s="50">
        <f t="shared" si="6"/>
        <v>82625.693977561212</v>
      </c>
      <c r="AF35" s="50">
        <f t="shared" si="6"/>
        <v>90865.775698531972</v>
      </c>
      <c r="AG35" s="50">
        <f t="shared" si="6"/>
        <v>99783.822872833814</v>
      </c>
      <c r="AH35" s="50">
        <f t="shared" si="6"/>
        <v>109387.73174366637</v>
      </c>
      <c r="AI35" s="50">
        <f t="shared" si="6"/>
        <v>119799.94509406132</v>
      </c>
      <c r="AJ35" s="50">
        <f t="shared" si="6"/>
        <v>131083.62762175966</v>
      </c>
      <c r="AK35" s="50">
        <f t="shared" si="6"/>
        <v>143249.09107769717</v>
      </c>
      <c r="AL35" s="50">
        <f t="shared" si="6"/>
        <v>156362.64780818624</v>
      </c>
    </row>
    <row r="36" spans="1:38" x14ac:dyDescent="0.2">
      <c r="A36" s="40" t="s">
        <v>185</v>
      </c>
      <c r="B36" s="2"/>
      <c r="C36" s="50">
        <f>C35</f>
        <v>-40423.681100000002</v>
      </c>
      <c r="D36" s="50">
        <f>C36+D35</f>
        <v>-54553.780948500003</v>
      </c>
      <c r="E36" s="50">
        <f t="shared" ref="E36:AL36" si="7">D36+E35</f>
        <v>-68641.045448547506</v>
      </c>
      <c r="F36" s="50">
        <f t="shared" si="7"/>
        <v>-75839.568401105687</v>
      </c>
      <c r="G36" s="50">
        <f t="shared" si="7"/>
        <v>-82387.422662989469</v>
      </c>
      <c r="H36" s="50">
        <f t="shared" si="7"/>
        <v>-88353.101874061671</v>
      </c>
      <c r="I36" s="50">
        <f t="shared" si="7"/>
        <v>-93999.538695726165</v>
      </c>
      <c r="J36" s="50">
        <f t="shared" si="7"/>
        <v>-105862.27473777773</v>
      </c>
      <c r="K36" s="50">
        <f t="shared" si="7"/>
        <v>-116406.71175429088</v>
      </c>
      <c r="L36" s="50">
        <f t="shared" si="7"/>
        <v>-125405.7824845195</v>
      </c>
      <c r="M36" s="50">
        <f t="shared" si="7"/>
        <v>-132704.87397404955</v>
      </c>
      <c r="N36" s="50">
        <f t="shared" si="7"/>
        <v>-138194.65604011811</v>
      </c>
      <c r="O36" s="50">
        <f t="shared" si="7"/>
        <v>-141059.72085605207</v>
      </c>
      <c r="P36" s="50">
        <f t="shared" si="7"/>
        <v>-140328.18552057119</v>
      </c>
      <c r="Q36" s="50">
        <f t="shared" si="7"/>
        <v>-135566.6765296071</v>
      </c>
      <c r="R36" s="50">
        <f t="shared" si="7"/>
        <v>-125517.1900256761</v>
      </c>
      <c r="S36" s="50">
        <f t="shared" si="7"/>
        <v>-109484.67976836064</v>
      </c>
      <c r="T36" s="50">
        <f t="shared" si="7"/>
        <v>-87065.147918922958</v>
      </c>
      <c r="U36" s="50">
        <f t="shared" si="7"/>
        <v>-57910.263174096603</v>
      </c>
      <c r="V36" s="50">
        <f t="shared" si="7"/>
        <v>-24820.762209718683</v>
      </c>
      <c r="W36" s="50">
        <f t="shared" si="7"/>
        <v>12530.105748850256</v>
      </c>
      <c r="X36" s="50">
        <f t="shared" si="7"/>
        <v>54454.235274826002</v>
      </c>
      <c r="Y36" s="50">
        <f t="shared" si="7"/>
        <v>101393.18699980849</v>
      </c>
      <c r="Z36" s="50">
        <f t="shared" si="7"/>
        <v>153621.3311336636</v>
      </c>
      <c r="AA36" s="50">
        <f t="shared" si="7"/>
        <v>211703.11243458913</v>
      </c>
      <c r="AB36" s="50">
        <f t="shared" si="7"/>
        <v>274591.82479613961</v>
      </c>
      <c r="AC36" s="50">
        <f t="shared" si="7"/>
        <v>342541.14841749938</v>
      </c>
      <c r="AD36" s="50">
        <f t="shared" si="7"/>
        <v>417551.95610874274</v>
      </c>
      <c r="AE36" s="50">
        <f t="shared" si="7"/>
        <v>500177.65008630394</v>
      </c>
      <c r="AF36" s="50">
        <f t="shared" si="7"/>
        <v>591043.42578483594</v>
      </c>
      <c r="AG36" s="50">
        <f t="shared" si="7"/>
        <v>690827.24865766976</v>
      </c>
      <c r="AH36" s="50">
        <f t="shared" si="7"/>
        <v>800214.9804013361</v>
      </c>
      <c r="AI36" s="50">
        <f t="shared" si="7"/>
        <v>920014.92549539742</v>
      </c>
      <c r="AJ36" s="50">
        <f t="shared" si="7"/>
        <v>1051098.553117157</v>
      </c>
      <c r="AK36" s="50">
        <f t="shared" si="7"/>
        <v>1194347.6441948542</v>
      </c>
      <c r="AL36" s="50">
        <f t="shared" si="7"/>
        <v>1350710.2920030404</v>
      </c>
    </row>
    <row r="37" spans="1:38" x14ac:dyDescent="0.2">
      <c r="A37" s="40" t="s">
        <v>186</v>
      </c>
      <c r="B37" s="2"/>
      <c r="C37" s="50">
        <f>IF(C36&gt;0,C35*Assumptions!$B$85,0)</f>
        <v>0</v>
      </c>
      <c r="D37" s="50">
        <f>IF(D36&gt;0,D35*Assumptions!$B$85,0)</f>
        <v>0</v>
      </c>
      <c r="E37" s="50">
        <f>IF(E36&gt;0,E35*Assumptions!$B$85,0)</f>
        <v>0</v>
      </c>
      <c r="F37" s="50">
        <f>IF(F36&gt;0,F35*Assumptions!$B$85,0)</f>
        <v>0</v>
      </c>
      <c r="G37" s="50">
        <f>IF(G36&gt;0,G35*Assumptions!$B$85,0)</f>
        <v>0</v>
      </c>
      <c r="H37" s="50">
        <f>IF(H36&gt;0,H35*Assumptions!$B$85,0)</f>
        <v>0</v>
      </c>
      <c r="I37" s="50">
        <f>IF(I36&gt;0,I35*Assumptions!$B$85,0)</f>
        <v>0</v>
      </c>
      <c r="J37" s="50">
        <f>IF(J36&gt;0,J35*Assumptions!$B$85,0)</f>
        <v>0</v>
      </c>
      <c r="K37" s="50">
        <f>IF(K36&gt;0,K35*Assumptions!$B$85,0)</f>
        <v>0</v>
      </c>
      <c r="L37" s="50">
        <f>IF(L36&gt;0,L35*Assumptions!$B$85,0)</f>
        <v>0</v>
      </c>
      <c r="M37" s="50">
        <f>IF(M36&gt;0,M35*Assumptions!$B$85,0)</f>
        <v>0</v>
      </c>
      <c r="N37" s="50">
        <f>IF(N36&gt;0,N35*Assumptions!$B$85,0)</f>
        <v>0</v>
      </c>
      <c r="O37" s="50">
        <f>IF(O36&gt;0,O35*Assumptions!$B$85,0)</f>
        <v>0</v>
      </c>
      <c r="P37" s="50">
        <f>IF(P36&gt;0,P35*Assumptions!$B$85,0)</f>
        <v>0</v>
      </c>
      <c r="Q37" s="50">
        <f>IF(Q36&gt;0,Q35*Assumptions!$B$85,0)</f>
        <v>0</v>
      </c>
      <c r="R37" s="50">
        <f>IF(R36&gt;0,R35*Assumptions!$B$85,0)</f>
        <v>0</v>
      </c>
      <c r="S37" s="50">
        <f>IF(S36&gt;0,S35*Assumptions!$B$85,0)</f>
        <v>0</v>
      </c>
      <c r="T37" s="50">
        <f>IF(T36&gt;0,T35*Assumptions!$B$85,0)</f>
        <v>0</v>
      </c>
      <c r="U37" s="50">
        <f>IF(U36&gt;0,U35*Assumptions!$B$85,0)</f>
        <v>0</v>
      </c>
      <c r="V37" s="50">
        <f>IF(V36&gt;0,V35*Assumptions!$B$85,0)</f>
        <v>0</v>
      </c>
      <c r="W37" s="50">
        <f>IF(W36&gt;0,W35*Assumptions!$B$85,0)</f>
        <v>5229.1215141996518</v>
      </c>
      <c r="X37" s="50">
        <f>IF(X36&gt;0,X35*Assumptions!$B$85,0)</f>
        <v>5869.3781336366046</v>
      </c>
      <c r="Y37" s="50">
        <f>IF(Y36&gt;0,Y35*Assumptions!$B$85,0)</f>
        <v>6571.4532414975483</v>
      </c>
      <c r="Z37" s="50">
        <f>IF(Z36&gt;0,Z35*Assumptions!$B$85,0)</f>
        <v>7311.9401787397182</v>
      </c>
      <c r="AA37" s="50">
        <f>IF(AA36&gt;0,AA35*Assumptions!$B$85,0)</f>
        <v>8131.4493821295764</v>
      </c>
      <c r="AB37" s="50">
        <f>IF(AB36&gt;0,AB35*Assumptions!$B$85,0)</f>
        <v>8804.4197306170681</v>
      </c>
      <c r="AC37" s="50">
        <f>IF(AC36&gt;0,AC35*Assumptions!$B$85,0)</f>
        <v>9512.9053069903712</v>
      </c>
      <c r="AD37" s="50">
        <f>IF(AD36&gt;0,AD35*Assumptions!$B$85,0)</f>
        <v>10501.513076774072</v>
      </c>
      <c r="AE37" s="50">
        <f>IF(AE36&gt;0,AE35*Assumptions!$B$85,0)</f>
        <v>11567.59715685857</v>
      </c>
      <c r="AF37" s="50">
        <f>IF(AF36&gt;0,AF35*Assumptions!$B$85,0)</f>
        <v>12721.208597794477</v>
      </c>
      <c r="AG37" s="50">
        <f>IF(AG36&gt;0,AG35*Assumptions!$B$85,0)</f>
        <v>13969.735202196734</v>
      </c>
      <c r="AH37" s="50">
        <f>IF(AH36&gt;0,AH35*Assumptions!$B$85,0)</f>
        <v>15314.282444113294</v>
      </c>
      <c r="AI37" s="50">
        <f>IF(AI36&gt;0,AI35*Assumptions!$B$85,0)</f>
        <v>16771.992313168586</v>
      </c>
      <c r="AJ37" s="50">
        <f>IF(AJ36&gt;0,AJ35*Assumptions!$B$85,0)</f>
        <v>18351.707867046352</v>
      </c>
      <c r="AK37" s="50">
        <f>IF(AK36&gt;0,AK35*Assumptions!$B$85,0)</f>
        <v>20054.872750877606</v>
      </c>
      <c r="AL37" s="50">
        <f>IF(AL36&gt;0,AL35*Assumptions!$B$85,0)</f>
        <v>21890.770693146078</v>
      </c>
    </row>
    <row r="38" spans="1:38" x14ac:dyDescent="0.2">
      <c r="A38" s="125" t="s">
        <v>187</v>
      </c>
      <c r="B38" s="8"/>
      <c r="C38" s="126">
        <f>C35-C37</f>
        <v>-40423.681100000002</v>
      </c>
      <c r="D38" s="126">
        <f t="shared" ref="D38:AL38" si="8">D35-D37</f>
        <v>-14130.099848500002</v>
      </c>
      <c r="E38" s="126">
        <f t="shared" si="8"/>
        <v>-14087.264500047502</v>
      </c>
      <c r="F38" s="126">
        <f t="shared" si="8"/>
        <v>-7198.5229525581872</v>
      </c>
      <c r="G38" s="126">
        <f t="shared" si="8"/>
        <v>-6547.854261883781</v>
      </c>
      <c r="H38" s="126">
        <f t="shared" si="8"/>
        <v>-5965.6792110722017</v>
      </c>
      <c r="I38" s="126">
        <f t="shared" si="8"/>
        <v>-5646.4368216644962</v>
      </c>
      <c r="J38" s="126">
        <f t="shared" si="8"/>
        <v>-11862.736042051558</v>
      </c>
      <c r="K38" s="126">
        <f t="shared" si="8"/>
        <v>-10544.437016513155</v>
      </c>
      <c r="L38" s="126">
        <f t="shared" si="8"/>
        <v>-8999.0707302286191</v>
      </c>
      <c r="M38" s="126">
        <f t="shared" si="8"/>
        <v>-7299.0914895300557</v>
      </c>
      <c r="N38" s="126">
        <f t="shared" si="8"/>
        <v>-5489.7820660685466</v>
      </c>
      <c r="O38" s="126">
        <f t="shared" si="8"/>
        <v>-2865.0648159339689</v>
      </c>
      <c r="P38" s="126">
        <f t="shared" si="8"/>
        <v>731.53533548088308</v>
      </c>
      <c r="Q38" s="126">
        <f t="shared" si="8"/>
        <v>4761.508990964081</v>
      </c>
      <c r="R38" s="126">
        <f t="shared" si="8"/>
        <v>10049.486503930999</v>
      </c>
      <c r="S38" s="126">
        <f t="shared" si="8"/>
        <v>16032.510257315462</v>
      </c>
      <c r="T38" s="126">
        <f t="shared" si="8"/>
        <v>22419.531849437684</v>
      </c>
      <c r="U38" s="126">
        <f t="shared" si="8"/>
        <v>29154.884744826355</v>
      </c>
      <c r="V38" s="126">
        <f t="shared" si="8"/>
        <v>33089.500964377919</v>
      </c>
      <c r="W38" s="126">
        <f t="shared" si="8"/>
        <v>32121.746444369288</v>
      </c>
      <c r="X38" s="126">
        <f t="shared" si="8"/>
        <v>36054.751392339138</v>
      </c>
      <c r="Y38" s="126">
        <f t="shared" si="8"/>
        <v>40367.498483484938</v>
      </c>
      <c r="Z38" s="126">
        <f t="shared" si="8"/>
        <v>44916.203955115401</v>
      </c>
      <c r="AA38" s="126">
        <f t="shared" si="8"/>
        <v>49950.331918795964</v>
      </c>
      <c r="AB38" s="126">
        <f t="shared" si="8"/>
        <v>54084.292630933414</v>
      </c>
      <c r="AC38" s="126">
        <f t="shared" si="8"/>
        <v>58436.41831436941</v>
      </c>
      <c r="AD38" s="126">
        <f t="shared" si="8"/>
        <v>64509.294614469291</v>
      </c>
      <c r="AE38" s="126">
        <f t="shared" si="8"/>
        <v>71058.096820702645</v>
      </c>
      <c r="AF38" s="126">
        <f t="shared" si="8"/>
        <v>78144.567100737491</v>
      </c>
      <c r="AG38" s="126">
        <f t="shared" si="8"/>
        <v>85814.087670637076</v>
      </c>
      <c r="AH38" s="126">
        <f t="shared" si="8"/>
        <v>94073.449299553075</v>
      </c>
      <c r="AI38" s="126">
        <f t="shared" si="8"/>
        <v>103027.95278089272</v>
      </c>
      <c r="AJ38" s="126">
        <f t="shared" si="8"/>
        <v>112731.91975471331</v>
      </c>
      <c r="AK38" s="126">
        <f t="shared" si="8"/>
        <v>123194.21832681957</v>
      </c>
      <c r="AL38" s="126">
        <f t="shared" si="8"/>
        <v>134471.87711504017</v>
      </c>
    </row>
    <row r="39" spans="1:38" x14ac:dyDescent="0.2">
      <c r="A39" s="59" t="s">
        <v>377</v>
      </c>
      <c r="B39" s="60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</row>
    <row r="40" spans="1:38" x14ac:dyDescent="0.2">
      <c r="A40" s="40" t="s">
        <v>188</v>
      </c>
      <c r="B40" s="4">
        <f>SUM(C5:N5)</f>
        <v>58756.629242130621</v>
      </c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</row>
    <row r="41" spans="1:38" x14ac:dyDescent="0.2">
      <c r="A41" s="40" t="s">
        <v>189</v>
      </c>
      <c r="B41" s="4">
        <f>SUM(O5:Z5)</f>
        <v>578445.93462754309</v>
      </c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</row>
    <row r="42" spans="1:38" x14ac:dyDescent="0.2">
      <c r="A42" s="40" t="s">
        <v>190</v>
      </c>
      <c r="B42" s="4">
        <f>SUM(AA5:AL5)</f>
        <v>1574403.3350264356</v>
      </c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</row>
    <row r="43" spans="1:38" x14ac:dyDescent="0.2">
      <c r="A43" s="40" t="s">
        <v>191</v>
      </c>
      <c r="B43" s="4">
        <f>SUM(C34:N34)</f>
        <v>-100194.65604011811</v>
      </c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</row>
    <row r="44" spans="1:38" x14ac:dyDescent="0.2">
      <c r="A44" s="40" t="s">
        <v>192</v>
      </c>
      <c r="B44" s="4">
        <f>SUM(O34:Z34)</f>
        <v>291815.98717378167</v>
      </c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</row>
    <row r="45" spans="1:38" x14ac:dyDescent="0.2">
      <c r="A45" s="40" t="s">
        <v>193</v>
      </c>
      <c r="B45" s="4">
        <f>SUM(AA34:AL34)</f>
        <v>1197088.9608693768</v>
      </c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</row>
    <row r="46" spans="1:38" x14ac:dyDescent="0.2">
      <c r="A46" s="40" t="s">
        <v>194</v>
      </c>
      <c r="B46" s="4">
        <f>SUM(C38:N38)</f>
        <v>-138194.65604011811</v>
      </c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</row>
    <row r="47" spans="1:38" x14ac:dyDescent="0.2">
      <c r="A47" s="40" t="s">
        <v>195</v>
      </c>
      <c r="B47" s="4">
        <f>SUM(O38:Z38)</f>
        <v>266834.09410570818</v>
      </c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</row>
    <row r="48" spans="1:38" x14ac:dyDescent="0.2">
      <c r="A48" s="40" t="s">
        <v>196</v>
      </c>
      <c r="B48" s="4">
        <f>SUM(AA38:AL38)</f>
        <v>1029496.5063476642</v>
      </c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</row>
  </sheetData>
  <conditionalFormatting sqref="C38:AL38">
    <cfRule type="expression" dxfId="15" priority="1">
      <formula>C38&gt;0</formula>
    </cfRule>
  </conditionalFormatting>
  <conditionalFormatting sqref="C38:AL38">
    <cfRule type="expression" dxfId="14" priority="2">
      <formula>C38&lt;0</formula>
    </cfRule>
  </conditionalFormatting>
  <conditionalFormatting sqref="C38:AL38">
    <cfRule type="expression" dxfId="13" priority="3">
      <formula>C38&gt;0</formula>
    </cfRule>
  </conditionalFormatting>
  <conditionalFormatting sqref="C38:AL38">
    <cfRule type="expression" dxfId="12" priority="4">
      <formula>C38&lt;0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38E10-BB99-FE46-9D11-E62E9FAA18C5}">
  <dimension ref="A1:AL27"/>
  <sheetViews>
    <sheetView showGridLines="0" workbookViewId="0"/>
  </sheetViews>
  <sheetFormatPr baseColWidth="10" defaultRowHeight="16" x14ac:dyDescent="0.2"/>
  <cols>
    <col min="1" max="1" width="18" style="42" bestFit="1" customWidth="1"/>
    <col min="2" max="2" width="10.83203125" customWidth="1"/>
    <col min="3" max="38" width="9.1640625" style="46" customWidth="1"/>
  </cols>
  <sheetData>
    <row r="1" spans="1:38" ht="17" thickBot="1" x14ac:dyDescent="0.25">
      <c r="A1" s="64" t="s">
        <v>197</v>
      </c>
      <c r="B1" s="64" t="s">
        <v>72</v>
      </c>
      <c r="C1" s="176" t="s">
        <v>409</v>
      </c>
      <c r="D1" s="176" t="s">
        <v>410</v>
      </c>
      <c r="E1" s="176" t="s">
        <v>411</v>
      </c>
      <c r="F1" s="176" t="s">
        <v>412</v>
      </c>
      <c r="G1" s="176" t="s">
        <v>413</v>
      </c>
      <c r="H1" s="176" t="s">
        <v>414</v>
      </c>
      <c r="I1" s="176" t="s">
        <v>415</v>
      </c>
      <c r="J1" s="176" t="s">
        <v>416</v>
      </c>
      <c r="K1" s="176" t="s">
        <v>417</v>
      </c>
      <c r="L1" s="176" t="s">
        <v>418</v>
      </c>
      <c r="M1" s="176" t="s">
        <v>419</v>
      </c>
      <c r="N1" s="176" t="s">
        <v>420</v>
      </c>
      <c r="O1" s="176" t="s">
        <v>421</v>
      </c>
      <c r="P1" s="176" t="s">
        <v>422</v>
      </c>
      <c r="Q1" s="176" t="s">
        <v>423</v>
      </c>
      <c r="R1" s="176" t="s">
        <v>424</v>
      </c>
      <c r="S1" s="176" t="s">
        <v>425</v>
      </c>
      <c r="T1" s="176" t="s">
        <v>426</v>
      </c>
      <c r="U1" s="176" t="s">
        <v>427</v>
      </c>
      <c r="V1" s="176" t="s">
        <v>428</v>
      </c>
      <c r="W1" s="176" t="s">
        <v>429</v>
      </c>
      <c r="X1" s="176" t="s">
        <v>430</v>
      </c>
      <c r="Y1" s="176" t="s">
        <v>431</v>
      </c>
      <c r="Z1" s="176" t="s">
        <v>432</v>
      </c>
      <c r="AA1" s="176" t="s">
        <v>433</v>
      </c>
      <c r="AB1" s="176" t="s">
        <v>434</v>
      </c>
      <c r="AC1" s="176" t="s">
        <v>435</v>
      </c>
      <c r="AD1" s="176" t="s">
        <v>436</v>
      </c>
      <c r="AE1" s="176" t="s">
        <v>437</v>
      </c>
      <c r="AF1" s="176" t="s">
        <v>438</v>
      </c>
      <c r="AG1" s="176" t="s">
        <v>439</v>
      </c>
      <c r="AH1" s="176" t="s">
        <v>440</v>
      </c>
      <c r="AI1" s="176" t="s">
        <v>441</v>
      </c>
      <c r="AJ1" s="176" t="s">
        <v>442</v>
      </c>
      <c r="AK1" s="176" t="s">
        <v>443</v>
      </c>
      <c r="AL1" s="176" t="s">
        <v>444</v>
      </c>
    </row>
    <row r="2" spans="1:38" x14ac:dyDescent="0.2">
      <c r="A2" s="90" t="s">
        <v>393</v>
      </c>
      <c r="B2" s="91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</row>
    <row r="3" spans="1:38" x14ac:dyDescent="0.2">
      <c r="A3" s="40" t="s">
        <v>198</v>
      </c>
      <c r="B3" s="2" t="s">
        <v>57</v>
      </c>
      <c r="C3" s="50">
        <f>Revenue!C40</f>
        <v>66.930000000000007</v>
      </c>
      <c r="D3" s="50">
        <f>Revenue!D40</f>
        <v>124.46554999999987</v>
      </c>
      <c r="E3" s="50">
        <f>Revenue!E40</f>
        <v>201.29199924999955</v>
      </c>
      <c r="F3" s="50">
        <f>Revenue!F40</f>
        <v>2237.6046990812497</v>
      </c>
      <c r="G3" s="50">
        <f>Revenue!G40</f>
        <v>2958.879256374531</v>
      </c>
      <c r="H3" s="50">
        <f>Revenue!H40</f>
        <v>3607.100859097744</v>
      </c>
      <c r="I3" s="50">
        <f>Revenue!I40</f>
        <v>4549.229669199096</v>
      </c>
      <c r="J3" s="50">
        <f>Revenue!J40</f>
        <v>5641.7118772119129</v>
      </c>
      <c r="K3" s="50">
        <f>Revenue!K40</f>
        <v>7108.3465495845949</v>
      </c>
      <c r="L3" s="50">
        <f>Revenue!L40</f>
        <v>8823.3000232411268</v>
      </c>
      <c r="M3" s="50">
        <f>Revenue!M40</f>
        <v>10714.016028470382</v>
      </c>
      <c r="N3" s="50">
        <f>Revenue!N40</f>
        <v>12723.752730619985</v>
      </c>
      <c r="O3" s="50">
        <f>Revenue!O40</f>
        <v>18297.892595009482</v>
      </c>
      <c r="P3" s="50">
        <f>Revenue!P40</f>
        <v>22254.23792888661</v>
      </c>
      <c r="Q3" s="50">
        <f>Revenue!Q40</f>
        <v>26692.099962886095</v>
      </c>
      <c r="R3" s="50">
        <f>Revenue!R40</f>
        <v>32501.785454535468</v>
      </c>
      <c r="S3" s="50">
        <f>Revenue!S40</f>
        <v>39088.060181805937</v>
      </c>
      <c r="T3" s="50">
        <f>Revenue!T40</f>
        <v>46116.753900257892</v>
      </c>
      <c r="U3" s="50">
        <f>Revenue!U40</f>
        <v>53524.89121250897</v>
      </c>
      <c r="V3" s="50">
        <f>Revenue!V40</f>
        <v>57853.933826197681</v>
      </c>
      <c r="W3" s="50">
        <f>Revenue!W40</f>
        <v>62541.241692734373</v>
      </c>
      <c r="X3" s="50">
        <f>Revenue!X40</f>
        <v>67574.303421253513</v>
      </c>
      <c r="Y3" s="50">
        <f>Revenue!Y40</f>
        <v>73088.172483122748</v>
      </c>
      <c r="Z3" s="50">
        <f>Revenue!Z40</f>
        <v>78912.561968344322</v>
      </c>
      <c r="AA3" s="50">
        <f>Revenue!AA40</f>
        <v>85349.061134070784</v>
      </c>
      <c r="AB3" s="50">
        <f>Revenue!AB40</f>
        <v>90636.84888717033</v>
      </c>
      <c r="AC3" s="50">
        <f>Revenue!AC40</f>
        <v>96206.120186938322</v>
      </c>
      <c r="AD3" s="50">
        <f>Revenue!AD40</f>
        <v>103975.356112175</v>
      </c>
      <c r="AE3" s="50">
        <f>Revenue!AE40</f>
        <v>112353.12678731862</v>
      </c>
      <c r="AF3" s="50">
        <f>Revenue!AF40</f>
        <v>121418.66470360663</v>
      </c>
      <c r="AG3" s="50">
        <f>Revenue!AG40</f>
        <v>131229.26793859355</v>
      </c>
      <c r="AH3" s="50">
        <f>Revenue!AH40</f>
        <v>141796.73621030367</v>
      </c>
      <c r="AI3" s="50">
        <f>Revenue!AI40</f>
        <v>153251.70609869465</v>
      </c>
      <c r="AJ3" s="50">
        <f>Revenue!AJ40</f>
        <v>165664.06442201848</v>
      </c>
      <c r="AK3" s="50">
        <f>Revenue!AK40</f>
        <v>179047.16301899095</v>
      </c>
      <c r="AL3" s="50">
        <f>Revenue!AL40</f>
        <v>193475.21952655469</v>
      </c>
    </row>
    <row r="4" spans="1:38" x14ac:dyDescent="0.2">
      <c r="A4" s="40" t="s">
        <v>199</v>
      </c>
      <c r="B4" s="2" t="s">
        <v>57</v>
      </c>
      <c r="C4" s="50">
        <f>Costs!C62</f>
        <v>40490.611100000002</v>
      </c>
      <c r="D4" s="50">
        <f>Costs!D62</f>
        <v>14654.565398500001</v>
      </c>
      <c r="E4" s="50">
        <f>Costs!E62</f>
        <v>14688.556499297501</v>
      </c>
      <c r="F4" s="50">
        <f>Costs!F62</f>
        <v>9836.1276516394373</v>
      </c>
      <c r="G4" s="50">
        <f>Costs!G62</f>
        <v>9906.733518258312</v>
      </c>
      <c r="H4" s="50">
        <f>Costs!H62</f>
        <v>9972.7800701699452</v>
      </c>
      <c r="I4" s="50">
        <f>Costs!I62</f>
        <v>12595.666490863592</v>
      </c>
      <c r="J4" s="50">
        <f>Costs!J62</f>
        <v>17904.447919263472</v>
      </c>
      <c r="K4" s="50">
        <f>Costs!K62</f>
        <v>18052.783566097751</v>
      </c>
      <c r="L4" s="50">
        <f>Costs!L62</f>
        <v>18222.370753469746</v>
      </c>
      <c r="M4" s="50">
        <f>Costs!M62</f>
        <v>18413.107518000437</v>
      </c>
      <c r="N4" s="50">
        <f>Costs!N62</f>
        <v>18613.534796688531</v>
      </c>
      <c r="O4" s="50">
        <f>Costs!O62</f>
        <v>21562.957410943451</v>
      </c>
      <c r="P4" s="50">
        <f>Costs!P62</f>
        <v>21922.702593405727</v>
      </c>
      <c r="Q4" s="50">
        <f>Costs!Q62</f>
        <v>22330.590971922014</v>
      </c>
      <c r="R4" s="50">
        <f>Costs!R62</f>
        <v>22852.298950604469</v>
      </c>
      <c r="S4" s="50">
        <f>Costs!S62</f>
        <v>23455.549924490475</v>
      </c>
      <c r="T4" s="50">
        <f>Costs!T62</f>
        <v>24097.222050820208</v>
      </c>
      <c r="U4" s="50">
        <f>Costs!U62</f>
        <v>24770.006467682615</v>
      </c>
      <c r="V4" s="50">
        <f>Costs!V62</f>
        <v>25164.432861819765</v>
      </c>
      <c r="W4" s="50">
        <f>Costs!W62</f>
        <v>25590.373734165434</v>
      </c>
      <c r="X4" s="50">
        <f>Costs!X62</f>
        <v>26050.173895277767</v>
      </c>
      <c r="Y4" s="50">
        <f>Costs!Y62</f>
        <v>26549.220758140265</v>
      </c>
      <c r="Z4" s="50">
        <f>Costs!Z62</f>
        <v>27084.417834489199</v>
      </c>
      <c r="AA4" s="50">
        <f>Costs!AA62</f>
        <v>27667.279833145243</v>
      </c>
      <c r="AB4" s="50">
        <f>Costs!AB62</f>
        <v>28148.136525619851</v>
      </c>
      <c r="AC4" s="50">
        <f>Costs!AC62</f>
        <v>28656.79656557853</v>
      </c>
      <c r="AD4" s="50">
        <f>Costs!AD62</f>
        <v>29364.548420931631</v>
      </c>
      <c r="AE4" s="50">
        <f>Costs!AE62</f>
        <v>30127.432809757403</v>
      </c>
      <c r="AF4" s="50">
        <f>Costs!AF62</f>
        <v>30952.889005074652</v>
      </c>
      <c r="AG4" s="50">
        <f>Costs!AG62</f>
        <v>31845.445065759726</v>
      </c>
      <c r="AH4" s="50">
        <f>Costs!AH62</f>
        <v>32809.004466637292</v>
      </c>
      <c r="AI4" s="50">
        <f>Costs!AI62</f>
        <v>33851.761004633328</v>
      </c>
      <c r="AJ4" s="50">
        <f>Costs!AJ62</f>
        <v>34980.436800258831</v>
      </c>
      <c r="AK4" s="50">
        <f>Costs!AK62</f>
        <v>36198.071941293776</v>
      </c>
      <c r="AL4" s="50">
        <f>Costs!AL62</f>
        <v>37512.571718368432</v>
      </c>
    </row>
    <row r="5" spans="1:38" x14ac:dyDescent="0.2">
      <c r="A5" s="40" t="s">
        <v>200</v>
      </c>
      <c r="B5" s="2" t="s">
        <v>57</v>
      </c>
      <c r="C5" s="50">
        <v>0</v>
      </c>
      <c r="D5" s="50">
        <v>0</v>
      </c>
      <c r="E5" s="50">
        <f>SUM(Revenue!C42:E42)</f>
        <v>29.424321451665083</v>
      </c>
      <c r="F5" s="50">
        <v>0</v>
      </c>
      <c r="G5" s="50">
        <v>0</v>
      </c>
      <c r="H5" s="50">
        <f>SUM(Revenue!F42:H42)</f>
        <v>659.6580665854168</v>
      </c>
      <c r="I5" s="50">
        <v>0</v>
      </c>
      <c r="J5" s="50">
        <v>0</v>
      </c>
      <c r="K5" s="50">
        <f>SUM(Revenue!I42:K42)</f>
        <v>1296.2463790709012</v>
      </c>
      <c r="L5" s="50">
        <v>0</v>
      </c>
      <c r="M5" s="50">
        <v>0</v>
      </c>
      <c r="N5" s="50">
        <f>SUM(Revenue!L42:N42)</f>
        <v>2417.3418791571239</v>
      </c>
      <c r="O5" s="50">
        <v>0</v>
      </c>
      <c r="P5" s="50">
        <v>0</v>
      </c>
      <c r="Q5" s="50">
        <f>SUM(Revenue!O42:Q42)</f>
        <v>5038.6518681122634</v>
      </c>
      <c r="R5" s="50">
        <v>0</v>
      </c>
      <c r="S5" s="50">
        <v>0</v>
      </c>
      <c r="T5" s="50">
        <f>SUM(Revenue!R42:T42)</f>
        <v>8819.8284574140089</v>
      </c>
      <c r="U5" s="50">
        <v>0</v>
      </c>
      <c r="V5" s="50">
        <v>0</v>
      </c>
      <c r="W5" s="50">
        <f>SUM(Revenue!U42:W42)</f>
        <v>13031.938395232863</v>
      </c>
      <c r="X5" s="50">
        <v>0</v>
      </c>
      <c r="Y5" s="50">
        <v>0</v>
      </c>
      <c r="Z5" s="50">
        <f>SUM(Revenue!X42:Z42)</f>
        <v>16452.893679639565</v>
      </c>
      <c r="AA5" s="50">
        <v>0</v>
      </c>
      <c r="AB5" s="50">
        <v>0</v>
      </c>
      <c r="AC5" s="50">
        <f>SUM(Revenue!AA42:AC42)</f>
        <v>20395.517527162381</v>
      </c>
      <c r="AD5" s="50">
        <v>0</v>
      </c>
      <c r="AE5" s="50">
        <v>0</v>
      </c>
      <c r="AF5" s="50">
        <f>SUM(Revenue!AD42:AF42)</f>
        <v>25307.603104395115</v>
      </c>
      <c r="AG5" s="50">
        <v>0</v>
      </c>
      <c r="AH5" s="50">
        <v>0</v>
      </c>
      <c r="AI5" s="50">
        <f>SUM(Revenue!AG42:AI42)</f>
        <v>31941.253034278394</v>
      </c>
      <c r="AJ5" s="50">
        <v>0</v>
      </c>
      <c r="AK5" s="50">
        <v>0</v>
      </c>
      <c r="AL5" s="50">
        <f>SUM(Revenue!AJ42:AL42)</f>
        <v>40326.644037347542</v>
      </c>
    </row>
    <row r="6" spans="1:38" x14ac:dyDescent="0.2">
      <c r="A6" s="40" t="s">
        <v>201</v>
      </c>
      <c r="B6" s="2" t="s">
        <v>57</v>
      </c>
      <c r="C6" s="50">
        <v>0</v>
      </c>
      <c r="D6" s="50">
        <v>0</v>
      </c>
      <c r="E6" s="50">
        <f>SUM('P&amp;L'!C37:E37)</f>
        <v>0</v>
      </c>
      <c r="F6" s="50">
        <v>0</v>
      </c>
      <c r="G6" s="50">
        <v>0</v>
      </c>
      <c r="H6" s="50">
        <f>SUM('P&amp;L'!F37:H37)</f>
        <v>0</v>
      </c>
      <c r="I6" s="50">
        <v>0</v>
      </c>
      <c r="J6" s="50">
        <v>0</v>
      </c>
      <c r="K6" s="50">
        <f>SUM('P&amp;L'!I37:K37)</f>
        <v>0</v>
      </c>
      <c r="L6" s="50">
        <v>0</v>
      </c>
      <c r="M6" s="50">
        <v>0</v>
      </c>
      <c r="N6" s="50">
        <f>SUM('P&amp;L'!L37:N37)</f>
        <v>0</v>
      </c>
      <c r="O6" s="50">
        <v>0</v>
      </c>
      <c r="P6" s="50">
        <v>0</v>
      </c>
      <c r="Q6" s="50">
        <f>SUM('P&amp;L'!O37:Q37)</f>
        <v>0</v>
      </c>
      <c r="R6" s="50">
        <v>0</v>
      </c>
      <c r="S6" s="50">
        <v>0</v>
      </c>
      <c r="T6" s="50">
        <f>SUM('P&amp;L'!R37:T37)</f>
        <v>0</v>
      </c>
      <c r="U6" s="50">
        <v>0</v>
      </c>
      <c r="V6" s="50">
        <v>0</v>
      </c>
      <c r="W6" s="50">
        <f>SUM('P&amp;L'!U37:W37)</f>
        <v>5229.1215141996518</v>
      </c>
      <c r="X6" s="50">
        <v>0</v>
      </c>
      <c r="Y6" s="50">
        <v>0</v>
      </c>
      <c r="Z6" s="50">
        <f>SUM('P&amp;L'!X37:Z37)</f>
        <v>19752.77155387387</v>
      </c>
      <c r="AA6" s="50">
        <v>0</v>
      </c>
      <c r="AB6" s="50">
        <v>0</v>
      </c>
      <c r="AC6" s="50">
        <f>SUM('P&amp;L'!AA37:AC37)</f>
        <v>26448.774419737016</v>
      </c>
      <c r="AD6" s="50">
        <v>0</v>
      </c>
      <c r="AE6" s="50">
        <v>0</v>
      </c>
      <c r="AF6" s="50">
        <f>SUM('P&amp;L'!AD37:AF37)</f>
        <v>34790.318831427125</v>
      </c>
      <c r="AG6" s="50">
        <v>0</v>
      </c>
      <c r="AH6" s="50">
        <v>0</v>
      </c>
      <c r="AI6" s="50">
        <f>SUM('P&amp;L'!AG37:AI37)</f>
        <v>46056.009959478615</v>
      </c>
      <c r="AJ6" s="50">
        <v>0</v>
      </c>
      <c r="AK6" s="50">
        <v>0</v>
      </c>
      <c r="AL6" s="50">
        <f>SUM('P&amp;L'!AJ37:AL37)</f>
        <v>60297.351311070037</v>
      </c>
    </row>
    <row r="7" spans="1:38" x14ac:dyDescent="0.2">
      <c r="A7" s="114" t="s">
        <v>202</v>
      </c>
      <c r="B7" s="115" t="s">
        <v>57</v>
      </c>
      <c r="C7" s="127">
        <v>0</v>
      </c>
      <c r="D7" s="127">
        <v>0</v>
      </c>
      <c r="E7" s="127">
        <v>0</v>
      </c>
      <c r="F7" s="127">
        <v>0</v>
      </c>
      <c r="G7" s="127">
        <v>0</v>
      </c>
      <c r="H7" s="127">
        <v>0</v>
      </c>
      <c r="I7" s="127">
        <v>0</v>
      </c>
      <c r="J7" s="127">
        <v>0</v>
      </c>
      <c r="K7" s="127">
        <v>0</v>
      </c>
      <c r="L7" s="127">
        <v>0</v>
      </c>
      <c r="M7" s="127">
        <v>0</v>
      </c>
      <c r="N7" s="127">
        <v>0</v>
      </c>
      <c r="O7" s="127">
        <v>0</v>
      </c>
      <c r="P7" s="127">
        <v>0</v>
      </c>
      <c r="Q7" s="127">
        <v>0</v>
      </c>
      <c r="R7" s="127">
        <v>0</v>
      </c>
      <c r="S7" s="127">
        <v>0</v>
      </c>
      <c r="T7" s="127">
        <v>0</v>
      </c>
      <c r="U7" s="127">
        <v>0</v>
      </c>
      <c r="V7" s="127">
        <v>0</v>
      </c>
      <c r="W7" s="127">
        <v>0</v>
      </c>
      <c r="X7" s="127">
        <v>0</v>
      </c>
      <c r="Y7" s="127">
        <v>0</v>
      </c>
      <c r="Z7" s="127">
        <v>0</v>
      </c>
      <c r="AA7" s="127">
        <v>0</v>
      </c>
      <c r="AB7" s="127">
        <v>0</v>
      </c>
      <c r="AC7" s="127">
        <v>0</v>
      </c>
      <c r="AD7" s="127">
        <v>0</v>
      </c>
      <c r="AE7" s="127">
        <v>0</v>
      </c>
      <c r="AF7" s="127">
        <v>0</v>
      </c>
      <c r="AG7" s="127">
        <v>0</v>
      </c>
      <c r="AH7" s="127">
        <v>0</v>
      </c>
      <c r="AI7" s="127">
        <v>0</v>
      </c>
      <c r="AJ7" s="127">
        <v>0</v>
      </c>
      <c r="AK7" s="127">
        <v>0</v>
      </c>
      <c r="AL7" s="127">
        <v>0</v>
      </c>
    </row>
    <row r="8" spans="1:38" x14ac:dyDescent="0.2">
      <c r="A8" s="47" t="s">
        <v>203</v>
      </c>
      <c r="B8" s="10" t="s">
        <v>57</v>
      </c>
      <c r="C8" s="51">
        <f>C3-C4-C5-C6+C7</f>
        <v>-40423.681100000002</v>
      </c>
      <c r="D8" s="51">
        <f t="shared" ref="D8:AL8" si="0">D3-D4-D5-D6+D7</f>
        <v>-14530.099848500002</v>
      </c>
      <c r="E8" s="51">
        <f t="shared" si="0"/>
        <v>-14516.688821499167</v>
      </c>
      <c r="F8" s="51">
        <f t="shared" si="0"/>
        <v>-7598.5229525581872</v>
      </c>
      <c r="G8" s="51">
        <f t="shared" si="0"/>
        <v>-6947.854261883781</v>
      </c>
      <c r="H8" s="51">
        <f t="shared" si="0"/>
        <v>-7025.3372776576189</v>
      </c>
      <c r="I8" s="51">
        <f t="shared" si="0"/>
        <v>-8046.4368216644962</v>
      </c>
      <c r="J8" s="51">
        <f t="shared" si="0"/>
        <v>-12262.736042051558</v>
      </c>
      <c r="K8" s="51">
        <f t="shared" si="0"/>
        <v>-12240.683395584056</v>
      </c>
      <c r="L8" s="51">
        <f t="shared" si="0"/>
        <v>-9399.0707302286191</v>
      </c>
      <c r="M8" s="51">
        <f t="shared" si="0"/>
        <v>-7699.0914895300557</v>
      </c>
      <c r="N8" s="51">
        <f t="shared" si="0"/>
        <v>-8307.1239452256705</v>
      </c>
      <c r="O8" s="51">
        <f t="shared" si="0"/>
        <v>-3265.0648159339689</v>
      </c>
      <c r="P8" s="51">
        <f t="shared" si="0"/>
        <v>331.53533548088308</v>
      </c>
      <c r="Q8" s="51">
        <f t="shared" si="0"/>
        <v>-677.14287714818238</v>
      </c>
      <c r="R8" s="51">
        <f t="shared" si="0"/>
        <v>9649.4865039309989</v>
      </c>
      <c r="S8" s="51">
        <f t="shared" si="0"/>
        <v>15632.510257315462</v>
      </c>
      <c r="T8" s="51">
        <f t="shared" si="0"/>
        <v>13199.703392023675</v>
      </c>
      <c r="U8" s="51">
        <f t="shared" si="0"/>
        <v>28754.884744826355</v>
      </c>
      <c r="V8" s="51">
        <f t="shared" si="0"/>
        <v>32689.500964377916</v>
      </c>
      <c r="W8" s="51">
        <f t="shared" si="0"/>
        <v>18689.808049136424</v>
      </c>
      <c r="X8" s="51">
        <f t="shared" si="0"/>
        <v>41524.129525975746</v>
      </c>
      <c r="Y8" s="51">
        <f t="shared" si="0"/>
        <v>46538.951724982486</v>
      </c>
      <c r="Z8" s="51">
        <f t="shared" si="0"/>
        <v>15622.478900341688</v>
      </c>
      <c r="AA8" s="51">
        <f t="shared" si="0"/>
        <v>57681.781300925541</v>
      </c>
      <c r="AB8" s="51">
        <f t="shared" si="0"/>
        <v>62488.712361550482</v>
      </c>
      <c r="AC8" s="51">
        <f t="shared" si="0"/>
        <v>20705.031674460402</v>
      </c>
      <c r="AD8" s="51">
        <f t="shared" si="0"/>
        <v>74610.807691243361</v>
      </c>
      <c r="AE8" s="51">
        <f t="shared" si="0"/>
        <v>82225.693977561212</v>
      </c>
      <c r="AF8" s="51">
        <f t="shared" si="0"/>
        <v>30367.853762709732</v>
      </c>
      <c r="AG8" s="51">
        <f t="shared" si="0"/>
        <v>99383.822872833814</v>
      </c>
      <c r="AH8" s="51">
        <f t="shared" si="0"/>
        <v>108987.73174366637</v>
      </c>
      <c r="AI8" s="51">
        <f t="shared" si="0"/>
        <v>41402.682100304301</v>
      </c>
      <c r="AJ8" s="51">
        <f t="shared" si="0"/>
        <v>130683.62762175965</v>
      </c>
      <c r="AK8" s="51">
        <f t="shared" si="0"/>
        <v>142849.09107769717</v>
      </c>
      <c r="AL8" s="51">
        <f t="shared" si="0"/>
        <v>55338.652459768658</v>
      </c>
    </row>
    <row r="9" spans="1:38" x14ac:dyDescent="0.2">
      <c r="A9" s="59" t="s">
        <v>394</v>
      </c>
      <c r="B9" s="60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</row>
    <row r="10" spans="1:38" x14ac:dyDescent="0.2">
      <c r="A10" s="40" t="s">
        <v>204</v>
      </c>
      <c r="B10" s="2" t="s">
        <v>57</v>
      </c>
      <c r="C10" s="50">
        <f>Assumptions!$B$8</f>
        <v>113000</v>
      </c>
      <c r="D10" s="50">
        <f>C11</f>
        <v>72576.318899999998</v>
      </c>
      <c r="E10" s="50">
        <f t="shared" ref="E10:AL10" si="1">D11</f>
        <v>58046.219051499997</v>
      </c>
      <c r="F10" s="50">
        <f t="shared" si="1"/>
        <v>43529.530230000833</v>
      </c>
      <c r="G10" s="50">
        <f t="shared" si="1"/>
        <v>35931.007277442644</v>
      </c>
      <c r="H10" s="50">
        <f t="shared" si="1"/>
        <v>28983.153015558863</v>
      </c>
      <c r="I10" s="50">
        <f t="shared" si="1"/>
        <v>21957.815737901245</v>
      </c>
      <c r="J10" s="50">
        <f t="shared" si="1"/>
        <v>13911.378916236748</v>
      </c>
      <c r="K10" s="50">
        <f t="shared" si="1"/>
        <v>1648.6428741851905</v>
      </c>
      <c r="L10" s="50">
        <f t="shared" si="1"/>
        <v>-10592.040521398865</v>
      </c>
      <c r="M10" s="50">
        <f t="shared" si="1"/>
        <v>-19991.111251627484</v>
      </c>
      <c r="N10" s="50">
        <f t="shared" si="1"/>
        <v>-27690.20274115754</v>
      </c>
      <c r="O10" s="50">
        <f t="shared" si="1"/>
        <v>-35997.32668638321</v>
      </c>
      <c r="P10" s="50">
        <f t="shared" si="1"/>
        <v>-39262.391502317179</v>
      </c>
      <c r="Q10" s="50">
        <f t="shared" si="1"/>
        <v>-38930.856166836296</v>
      </c>
      <c r="R10" s="50">
        <f t="shared" si="1"/>
        <v>-39607.999043984477</v>
      </c>
      <c r="S10" s="50">
        <f t="shared" si="1"/>
        <v>-29958.512540053478</v>
      </c>
      <c r="T10" s="50">
        <f t="shared" si="1"/>
        <v>-14326.002282738016</v>
      </c>
      <c r="U10" s="50">
        <f t="shared" si="1"/>
        <v>-1126.2988907143408</v>
      </c>
      <c r="V10" s="50">
        <f t="shared" si="1"/>
        <v>27628.585854112014</v>
      </c>
      <c r="W10" s="50">
        <f t="shared" si="1"/>
        <v>60318.08681848993</v>
      </c>
      <c r="X10" s="50">
        <f t="shared" si="1"/>
        <v>79007.894867626354</v>
      </c>
      <c r="Y10" s="50">
        <f t="shared" si="1"/>
        <v>120532.0243936021</v>
      </c>
      <c r="Z10" s="50">
        <f t="shared" si="1"/>
        <v>167070.97611858457</v>
      </c>
      <c r="AA10" s="50">
        <f t="shared" si="1"/>
        <v>182693.45501892627</v>
      </c>
      <c r="AB10" s="50">
        <f t="shared" si="1"/>
        <v>240375.2363198518</v>
      </c>
      <c r="AC10" s="50">
        <f t="shared" si="1"/>
        <v>302863.94868140225</v>
      </c>
      <c r="AD10" s="50">
        <f t="shared" si="1"/>
        <v>323568.98035586264</v>
      </c>
      <c r="AE10" s="50">
        <f t="shared" si="1"/>
        <v>398179.78804710601</v>
      </c>
      <c r="AF10" s="50">
        <f t="shared" si="1"/>
        <v>480405.4820246672</v>
      </c>
      <c r="AG10" s="50">
        <f t="shared" si="1"/>
        <v>510773.33578737691</v>
      </c>
      <c r="AH10" s="50">
        <f t="shared" si="1"/>
        <v>610157.15866021067</v>
      </c>
      <c r="AI10" s="50">
        <f t="shared" si="1"/>
        <v>719144.89040387701</v>
      </c>
      <c r="AJ10" s="50">
        <f t="shared" si="1"/>
        <v>760547.5725041813</v>
      </c>
      <c r="AK10" s="50">
        <f t="shared" si="1"/>
        <v>891231.20012594096</v>
      </c>
      <c r="AL10" s="50">
        <f t="shared" si="1"/>
        <v>1034080.2912036381</v>
      </c>
    </row>
    <row r="11" spans="1:38" x14ac:dyDescent="0.2">
      <c r="A11" s="47" t="s">
        <v>205</v>
      </c>
      <c r="B11" s="10" t="s">
        <v>57</v>
      </c>
      <c r="C11" s="51">
        <f>C10+C8</f>
        <v>72576.318899999998</v>
      </c>
      <c r="D11" s="51">
        <f t="shared" ref="D11:AL11" si="2">D10+D8</f>
        <v>58046.219051499997</v>
      </c>
      <c r="E11" s="51">
        <f t="shared" si="2"/>
        <v>43529.530230000833</v>
      </c>
      <c r="F11" s="51">
        <f t="shared" si="2"/>
        <v>35931.007277442644</v>
      </c>
      <c r="G11" s="51">
        <f t="shared" si="2"/>
        <v>28983.153015558863</v>
      </c>
      <c r="H11" s="51">
        <f t="shared" si="2"/>
        <v>21957.815737901245</v>
      </c>
      <c r="I11" s="51">
        <f t="shared" si="2"/>
        <v>13911.378916236748</v>
      </c>
      <c r="J11" s="51">
        <f t="shared" si="2"/>
        <v>1648.6428741851905</v>
      </c>
      <c r="K11" s="51">
        <f t="shared" si="2"/>
        <v>-10592.040521398865</v>
      </c>
      <c r="L11" s="51">
        <f t="shared" si="2"/>
        <v>-19991.111251627484</v>
      </c>
      <c r="M11" s="51">
        <f t="shared" si="2"/>
        <v>-27690.20274115754</v>
      </c>
      <c r="N11" s="51">
        <f t="shared" si="2"/>
        <v>-35997.32668638321</v>
      </c>
      <c r="O11" s="51">
        <f t="shared" si="2"/>
        <v>-39262.391502317179</v>
      </c>
      <c r="P11" s="51">
        <f t="shared" si="2"/>
        <v>-38930.856166836296</v>
      </c>
      <c r="Q11" s="51">
        <f t="shared" si="2"/>
        <v>-39607.999043984477</v>
      </c>
      <c r="R11" s="51">
        <f t="shared" si="2"/>
        <v>-29958.512540053478</v>
      </c>
      <c r="S11" s="51">
        <f t="shared" si="2"/>
        <v>-14326.002282738016</v>
      </c>
      <c r="T11" s="51">
        <f t="shared" si="2"/>
        <v>-1126.2988907143408</v>
      </c>
      <c r="U11" s="51">
        <f t="shared" si="2"/>
        <v>27628.585854112014</v>
      </c>
      <c r="V11" s="51">
        <f t="shared" si="2"/>
        <v>60318.08681848993</v>
      </c>
      <c r="W11" s="51">
        <f t="shared" si="2"/>
        <v>79007.894867626354</v>
      </c>
      <c r="X11" s="51">
        <f t="shared" si="2"/>
        <v>120532.0243936021</v>
      </c>
      <c r="Y11" s="51">
        <f t="shared" si="2"/>
        <v>167070.97611858457</v>
      </c>
      <c r="Z11" s="51">
        <f t="shared" si="2"/>
        <v>182693.45501892627</v>
      </c>
      <c r="AA11" s="51">
        <f t="shared" si="2"/>
        <v>240375.2363198518</v>
      </c>
      <c r="AB11" s="51">
        <f t="shared" si="2"/>
        <v>302863.94868140225</v>
      </c>
      <c r="AC11" s="51">
        <f t="shared" si="2"/>
        <v>323568.98035586264</v>
      </c>
      <c r="AD11" s="51">
        <f t="shared" si="2"/>
        <v>398179.78804710601</v>
      </c>
      <c r="AE11" s="51">
        <f t="shared" si="2"/>
        <v>480405.4820246672</v>
      </c>
      <c r="AF11" s="51">
        <f t="shared" si="2"/>
        <v>510773.33578737691</v>
      </c>
      <c r="AG11" s="51">
        <f t="shared" si="2"/>
        <v>610157.15866021067</v>
      </c>
      <c r="AH11" s="51">
        <f t="shared" si="2"/>
        <v>719144.89040387701</v>
      </c>
      <c r="AI11" s="51">
        <f t="shared" si="2"/>
        <v>760547.5725041813</v>
      </c>
      <c r="AJ11" s="51">
        <f t="shared" si="2"/>
        <v>891231.20012594096</v>
      </c>
      <c r="AK11" s="51">
        <f t="shared" si="2"/>
        <v>1034080.2912036381</v>
      </c>
      <c r="AL11" s="51">
        <f t="shared" si="2"/>
        <v>1089418.9436634067</v>
      </c>
    </row>
    <row r="12" spans="1:38" x14ac:dyDescent="0.2">
      <c r="A12" s="40" t="s">
        <v>206</v>
      </c>
      <c r="B12" s="2" t="s">
        <v>57</v>
      </c>
      <c r="C12" s="50">
        <f>C11</f>
        <v>72576.318899999998</v>
      </c>
      <c r="D12" s="50">
        <f t="shared" ref="D12:AL12" si="3">D11</f>
        <v>58046.219051499997</v>
      </c>
      <c r="E12" s="50">
        <f t="shared" si="3"/>
        <v>43529.530230000833</v>
      </c>
      <c r="F12" s="50">
        <f t="shared" si="3"/>
        <v>35931.007277442644</v>
      </c>
      <c r="G12" s="50">
        <f t="shared" si="3"/>
        <v>28983.153015558863</v>
      </c>
      <c r="H12" s="50">
        <f t="shared" si="3"/>
        <v>21957.815737901245</v>
      </c>
      <c r="I12" s="50">
        <f t="shared" si="3"/>
        <v>13911.378916236748</v>
      </c>
      <c r="J12" s="50">
        <f t="shared" si="3"/>
        <v>1648.6428741851905</v>
      </c>
      <c r="K12" s="50">
        <f t="shared" si="3"/>
        <v>-10592.040521398865</v>
      </c>
      <c r="L12" s="50">
        <f t="shared" si="3"/>
        <v>-19991.111251627484</v>
      </c>
      <c r="M12" s="50">
        <f t="shared" si="3"/>
        <v>-27690.20274115754</v>
      </c>
      <c r="N12" s="50">
        <f t="shared" si="3"/>
        <v>-35997.32668638321</v>
      </c>
      <c r="O12" s="50">
        <f t="shared" si="3"/>
        <v>-39262.391502317179</v>
      </c>
      <c r="P12" s="50">
        <f t="shared" si="3"/>
        <v>-38930.856166836296</v>
      </c>
      <c r="Q12" s="50">
        <f t="shared" si="3"/>
        <v>-39607.999043984477</v>
      </c>
      <c r="R12" s="50">
        <f t="shared" si="3"/>
        <v>-29958.512540053478</v>
      </c>
      <c r="S12" s="50">
        <f t="shared" si="3"/>
        <v>-14326.002282738016</v>
      </c>
      <c r="T12" s="50">
        <f t="shared" si="3"/>
        <v>-1126.2988907143408</v>
      </c>
      <c r="U12" s="50">
        <f t="shared" si="3"/>
        <v>27628.585854112014</v>
      </c>
      <c r="V12" s="50">
        <f t="shared" si="3"/>
        <v>60318.08681848993</v>
      </c>
      <c r="W12" s="50">
        <f t="shared" si="3"/>
        <v>79007.894867626354</v>
      </c>
      <c r="X12" s="50">
        <f t="shared" si="3"/>
        <v>120532.0243936021</v>
      </c>
      <c r="Y12" s="50">
        <f t="shared" si="3"/>
        <v>167070.97611858457</v>
      </c>
      <c r="Z12" s="50">
        <f t="shared" si="3"/>
        <v>182693.45501892627</v>
      </c>
      <c r="AA12" s="50">
        <f t="shared" si="3"/>
        <v>240375.2363198518</v>
      </c>
      <c r="AB12" s="50">
        <f t="shared" si="3"/>
        <v>302863.94868140225</v>
      </c>
      <c r="AC12" s="50">
        <f t="shared" si="3"/>
        <v>323568.98035586264</v>
      </c>
      <c r="AD12" s="50">
        <f t="shared" si="3"/>
        <v>398179.78804710601</v>
      </c>
      <c r="AE12" s="50">
        <f t="shared" si="3"/>
        <v>480405.4820246672</v>
      </c>
      <c r="AF12" s="50">
        <f t="shared" si="3"/>
        <v>510773.33578737691</v>
      </c>
      <c r="AG12" s="50">
        <f t="shared" si="3"/>
        <v>610157.15866021067</v>
      </c>
      <c r="AH12" s="50">
        <f t="shared" si="3"/>
        <v>719144.89040387701</v>
      </c>
      <c r="AI12" s="50">
        <f t="shared" si="3"/>
        <v>760547.5725041813</v>
      </c>
      <c r="AJ12" s="50">
        <f t="shared" si="3"/>
        <v>891231.20012594096</v>
      </c>
      <c r="AK12" s="50">
        <f t="shared" si="3"/>
        <v>1034080.2912036381</v>
      </c>
      <c r="AL12" s="50">
        <f t="shared" si="3"/>
        <v>1089418.9436634067</v>
      </c>
    </row>
    <row r="13" spans="1:38" x14ac:dyDescent="0.2">
      <c r="A13" s="59" t="s">
        <v>395</v>
      </c>
      <c r="B13" s="60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</row>
    <row r="14" spans="1:38" x14ac:dyDescent="0.2">
      <c r="A14" s="40" t="s">
        <v>207</v>
      </c>
      <c r="B14" s="2" t="s">
        <v>57</v>
      </c>
      <c r="C14" s="50">
        <f>IF(C8&lt;0,ABS(C8),0)</f>
        <v>40423.681100000002</v>
      </c>
      <c r="D14" s="50">
        <f t="shared" ref="D14:AL14" si="4">IF(D8&lt;0,ABS(D8),0)</f>
        <v>14530.099848500002</v>
      </c>
      <c r="E14" s="50">
        <f t="shared" si="4"/>
        <v>14516.688821499167</v>
      </c>
      <c r="F14" s="50">
        <f t="shared" si="4"/>
        <v>7598.5229525581872</v>
      </c>
      <c r="G14" s="50">
        <f t="shared" si="4"/>
        <v>6947.854261883781</v>
      </c>
      <c r="H14" s="50">
        <f t="shared" si="4"/>
        <v>7025.3372776576189</v>
      </c>
      <c r="I14" s="50">
        <f t="shared" si="4"/>
        <v>8046.4368216644962</v>
      </c>
      <c r="J14" s="50">
        <f t="shared" si="4"/>
        <v>12262.736042051558</v>
      </c>
      <c r="K14" s="50">
        <f t="shared" si="4"/>
        <v>12240.683395584056</v>
      </c>
      <c r="L14" s="50">
        <f t="shared" si="4"/>
        <v>9399.0707302286191</v>
      </c>
      <c r="M14" s="50">
        <f t="shared" si="4"/>
        <v>7699.0914895300557</v>
      </c>
      <c r="N14" s="50">
        <f t="shared" si="4"/>
        <v>8307.1239452256705</v>
      </c>
      <c r="O14" s="50">
        <f t="shared" si="4"/>
        <v>3265.0648159339689</v>
      </c>
      <c r="P14" s="50">
        <f t="shared" si="4"/>
        <v>0</v>
      </c>
      <c r="Q14" s="50">
        <f t="shared" si="4"/>
        <v>677.14287714818238</v>
      </c>
      <c r="R14" s="50">
        <f t="shared" si="4"/>
        <v>0</v>
      </c>
      <c r="S14" s="50">
        <f t="shared" si="4"/>
        <v>0</v>
      </c>
      <c r="T14" s="50">
        <f t="shared" si="4"/>
        <v>0</v>
      </c>
      <c r="U14" s="50">
        <f t="shared" si="4"/>
        <v>0</v>
      </c>
      <c r="V14" s="50">
        <f t="shared" si="4"/>
        <v>0</v>
      </c>
      <c r="W14" s="50">
        <f t="shared" si="4"/>
        <v>0</v>
      </c>
      <c r="X14" s="50">
        <f t="shared" si="4"/>
        <v>0</v>
      </c>
      <c r="Y14" s="50">
        <f t="shared" si="4"/>
        <v>0</v>
      </c>
      <c r="Z14" s="50">
        <f t="shared" si="4"/>
        <v>0</v>
      </c>
      <c r="AA14" s="50">
        <f t="shared" si="4"/>
        <v>0</v>
      </c>
      <c r="AB14" s="50">
        <f t="shared" si="4"/>
        <v>0</v>
      </c>
      <c r="AC14" s="50">
        <f t="shared" si="4"/>
        <v>0</v>
      </c>
      <c r="AD14" s="50">
        <f t="shared" si="4"/>
        <v>0</v>
      </c>
      <c r="AE14" s="50">
        <f t="shared" si="4"/>
        <v>0</v>
      </c>
      <c r="AF14" s="50">
        <f t="shared" si="4"/>
        <v>0</v>
      </c>
      <c r="AG14" s="50">
        <f t="shared" si="4"/>
        <v>0</v>
      </c>
      <c r="AH14" s="50">
        <f t="shared" si="4"/>
        <v>0</v>
      </c>
      <c r="AI14" s="50">
        <f t="shared" si="4"/>
        <v>0</v>
      </c>
      <c r="AJ14" s="50">
        <f t="shared" si="4"/>
        <v>0</v>
      </c>
      <c r="AK14" s="50">
        <f t="shared" si="4"/>
        <v>0</v>
      </c>
      <c r="AL14" s="50">
        <f t="shared" si="4"/>
        <v>0</v>
      </c>
    </row>
    <row r="15" spans="1:38" x14ac:dyDescent="0.2">
      <c r="A15" s="40" t="s">
        <v>208</v>
      </c>
      <c r="B15" s="2"/>
      <c r="C15" s="57">
        <f>IFERROR(IF(C14&gt;0,C11/C14,99),99)</f>
        <v>1.7953911401700622</v>
      </c>
      <c r="D15" s="57">
        <f t="shared" ref="D15:AL15" si="5">IFERROR(IF(D14&gt;0,D11/D14,99),99)</f>
        <v>3.9948947121304421</v>
      </c>
      <c r="E15" s="57">
        <f t="shared" si="5"/>
        <v>2.99858533617761</v>
      </c>
      <c r="F15" s="57">
        <f t="shared" si="5"/>
        <v>4.7286831272051089</v>
      </c>
      <c r="G15" s="57">
        <f t="shared" si="5"/>
        <v>4.1715257578964557</v>
      </c>
      <c r="H15" s="57">
        <f t="shared" si="5"/>
        <v>3.1255176612990172</v>
      </c>
      <c r="I15" s="57">
        <f t="shared" si="5"/>
        <v>1.728886863161752</v>
      </c>
      <c r="J15" s="57">
        <f t="shared" si="5"/>
        <v>0.13444331416183466</v>
      </c>
      <c r="K15" s="57">
        <f t="shared" si="5"/>
        <v>-0.86531447461667421</v>
      </c>
      <c r="L15" s="57">
        <f t="shared" si="5"/>
        <v>-2.1269242274487308</v>
      </c>
      <c r="M15" s="57">
        <f t="shared" si="5"/>
        <v>-3.596554577746383</v>
      </c>
      <c r="N15" s="57">
        <f t="shared" si="5"/>
        <v>-4.3333080045196448</v>
      </c>
      <c r="O15" s="57">
        <f t="shared" si="5"/>
        <v>-12.024996046238122</v>
      </c>
      <c r="P15" s="57">
        <f t="shared" si="5"/>
        <v>99</v>
      </c>
      <c r="Q15" s="57">
        <f t="shared" si="5"/>
        <v>-58.492823864285988</v>
      </c>
      <c r="R15" s="57">
        <f t="shared" si="5"/>
        <v>99</v>
      </c>
      <c r="S15" s="57">
        <f t="shared" si="5"/>
        <v>99</v>
      </c>
      <c r="T15" s="57">
        <f t="shared" si="5"/>
        <v>99</v>
      </c>
      <c r="U15" s="57">
        <f t="shared" si="5"/>
        <v>99</v>
      </c>
      <c r="V15" s="57">
        <f t="shared" si="5"/>
        <v>99</v>
      </c>
      <c r="W15" s="57">
        <f t="shared" si="5"/>
        <v>99</v>
      </c>
      <c r="X15" s="57">
        <f t="shared" si="5"/>
        <v>99</v>
      </c>
      <c r="Y15" s="57">
        <f t="shared" si="5"/>
        <v>99</v>
      </c>
      <c r="Z15" s="57">
        <f t="shared" si="5"/>
        <v>99</v>
      </c>
      <c r="AA15" s="57">
        <f t="shared" si="5"/>
        <v>99</v>
      </c>
      <c r="AB15" s="57">
        <f t="shared" si="5"/>
        <v>99</v>
      </c>
      <c r="AC15" s="57">
        <f t="shared" si="5"/>
        <v>99</v>
      </c>
      <c r="AD15" s="57">
        <f t="shared" si="5"/>
        <v>99</v>
      </c>
      <c r="AE15" s="57">
        <f t="shared" si="5"/>
        <v>99</v>
      </c>
      <c r="AF15" s="57">
        <f t="shared" si="5"/>
        <v>99</v>
      </c>
      <c r="AG15" s="57">
        <f t="shared" si="5"/>
        <v>99</v>
      </c>
      <c r="AH15" s="57">
        <f t="shared" si="5"/>
        <v>99</v>
      </c>
      <c r="AI15" s="57">
        <f t="shared" si="5"/>
        <v>99</v>
      </c>
      <c r="AJ15" s="57">
        <f t="shared" si="5"/>
        <v>99</v>
      </c>
      <c r="AK15" s="57">
        <f t="shared" si="5"/>
        <v>99</v>
      </c>
      <c r="AL15" s="57">
        <f t="shared" si="5"/>
        <v>99</v>
      </c>
    </row>
    <row r="16" spans="1:38" x14ac:dyDescent="0.2">
      <c r="A16" s="59" t="s">
        <v>396</v>
      </c>
      <c r="B16" s="60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</row>
    <row r="17" spans="1:38" x14ac:dyDescent="0.2">
      <c r="A17" s="40" t="s">
        <v>209</v>
      </c>
      <c r="B17" s="2"/>
      <c r="C17" s="43" t="str">
        <f>IF(C8&gt;=0,"YES","NO")</f>
        <v>NO</v>
      </c>
      <c r="D17" s="43" t="str">
        <f t="shared" ref="D17:AL17" si="6">IF(D8&gt;=0,"YES","NO")</f>
        <v>NO</v>
      </c>
      <c r="E17" s="43" t="str">
        <f t="shared" si="6"/>
        <v>NO</v>
      </c>
      <c r="F17" s="43" t="str">
        <f t="shared" si="6"/>
        <v>NO</v>
      </c>
      <c r="G17" s="43" t="str">
        <f t="shared" si="6"/>
        <v>NO</v>
      </c>
      <c r="H17" s="43" t="str">
        <f t="shared" si="6"/>
        <v>NO</v>
      </c>
      <c r="I17" s="43" t="str">
        <f t="shared" si="6"/>
        <v>NO</v>
      </c>
      <c r="J17" s="43" t="str">
        <f t="shared" si="6"/>
        <v>NO</v>
      </c>
      <c r="K17" s="43" t="str">
        <f t="shared" si="6"/>
        <v>NO</v>
      </c>
      <c r="L17" s="43" t="str">
        <f t="shared" si="6"/>
        <v>NO</v>
      </c>
      <c r="M17" s="43" t="str">
        <f t="shared" si="6"/>
        <v>NO</v>
      </c>
      <c r="N17" s="43" t="str">
        <f t="shared" si="6"/>
        <v>NO</v>
      </c>
      <c r="O17" s="43" t="str">
        <f t="shared" si="6"/>
        <v>NO</v>
      </c>
      <c r="P17" s="43" t="str">
        <f t="shared" si="6"/>
        <v>YES</v>
      </c>
      <c r="Q17" s="43" t="str">
        <f t="shared" si="6"/>
        <v>NO</v>
      </c>
      <c r="R17" s="43" t="str">
        <f t="shared" si="6"/>
        <v>YES</v>
      </c>
      <c r="S17" s="43" t="str">
        <f t="shared" si="6"/>
        <v>YES</v>
      </c>
      <c r="T17" s="43" t="str">
        <f t="shared" si="6"/>
        <v>YES</v>
      </c>
      <c r="U17" s="43" t="str">
        <f t="shared" si="6"/>
        <v>YES</v>
      </c>
      <c r="V17" s="43" t="str">
        <f t="shared" si="6"/>
        <v>YES</v>
      </c>
      <c r="W17" s="43" t="str">
        <f t="shared" si="6"/>
        <v>YES</v>
      </c>
      <c r="X17" s="43" t="str">
        <f t="shared" si="6"/>
        <v>YES</v>
      </c>
      <c r="Y17" s="43" t="str">
        <f t="shared" si="6"/>
        <v>YES</v>
      </c>
      <c r="Z17" s="43" t="str">
        <f t="shared" si="6"/>
        <v>YES</v>
      </c>
      <c r="AA17" s="43" t="str">
        <f t="shared" si="6"/>
        <v>YES</v>
      </c>
      <c r="AB17" s="43" t="str">
        <f t="shared" si="6"/>
        <v>YES</v>
      </c>
      <c r="AC17" s="43" t="str">
        <f t="shared" si="6"/>
        <v>YES</v>
      </c>
      <c r="AD17" s="43" t="str">
        <f t="shared" si="6"/>
        <v>YES</v>
      </c>
      <c r="AE17" s="43" t="str">
        <f t="shared" si="6"/>
        <v>YES</v>
      </c>
      <c r="AF17" s="43" t="str">
        <f t="shared" si="6"/>
        <v>YES</v>
      </c>
      <c r="AG17" s="43" t="str">
        <f t="shared" si="6"/>
        <v>YES</v>
      </c>
      <c r="AH17" s="43" t="str">
        <f t="shared" si="6"/>
        <v>YES</v>
      </c>
      <c r="AI17" s="43" t="str">
        <f t="shared" si="6"/>
        <v>YES</v>
      </c>
      <c r="AJ17" s="43" t="str">
        <f t="shared" si="6"/>
        <v>YES</v>
      </c>
      <c r="AK17" s="43" t="str">
        <f t="shared" si="6"/>
        <v>YES</v>
      </c>
      <c r="AL17" s="43" t="str">
        <f t="shared" si="6"/>
        <v>YES</v>
      </c>
    </row>
    <row r="18" spans="1:38" x14ac:dyDescent="0.2">
      <c r="A18" s="40" t="s">
        <v>210</v>
      </c>
      <c r="B18" s="2"/>
      <c r="C18" s="43" t="str">
        <f>IF(C11&lt;=0,"DEPLETED","")</f>
        <v/>
      </c>
      <c r="D18" s="43" t="str">
        <f t="shared" ref="D18:AL18" si="7">IF(D11&lt;=0,"DEPLETED","")</f>
        <v/>
      </c>
      <c r="E18" s="43" t="str">
        <f t="shared" si="7"/>
        <v/>
      </c>
      <c r="F18" s="43" t="str">
        <f t="shared" si="7"/>
        <v/>
      </c>
      <c r="G18" s="43" t="str">
        <f t="shared" si="7"/>
        <v/>
      </c>
      <c r="H18" s="43" t="str">
        <f t="shared" si="7"/>
        <v/>
      </c>
      <c r="I18" s="43" t="str">
        <f t="shared" si="7"/>
        <v/>
      </c>
      <c r="J18" s="43" t="str">
        <f t="shared" si="7"/>
        <v/>
      </c>
      <c r="K18" s="43" t="str">
        <f t="shared" si="7"/>
        <v>DEPLETED</v>
      </c>
      <c r="L18" s="43" t="str">
        <f t="shared" si="7"/>
        <v>DEPLETED</v>
      </c>
      <c r="M18" s="43" t="str">
        <f t="shared" si="7"/>
        <v>DEPLETED</v>
      </c>
      <c r="N18" s="43" t="str">
        <f t="shared" si="7"/>
        <v>DEPLETED</v>
      </c>
      <c r="O18" s="43" t="str">
        <f t="shared" si="7"/>
        <v>DEPLETED</v>
      </c>
      <c r="P18" s="43" t="str">
        <f t="shared" si="7"/>
        <v>DEPLETED</v>
      </c>
      <c r="Q18" s="43" t="str">
        <f t="shared" si="7"/>
        <v>DEPLETED</v>
      </c>
      <c r="R18" s="43" t="str">
        <f t="shared" si="7"/>
        <v>DEPLETED</v>
      </c>
      <c r="S18" s="43" t="str">
        <f t="shared" si="7"/>
        <v>DEPLETED</v>
      </c>
      <c r="T18" s="43" t="str">
        <f t="shared" si="7"/>
        <v>DEPLETED</v>
      </c>
      <c r="U18" s="43" t="str">
        <f t="shared" si="7"/>
        <v/>
      </c>
      <c r="V18" s="43" t="str">
        <f t="shared" si="7"/>
        <v/>
      </c>
      <c r="W18" s="43" t="str">
        <f t="shared" si="7"/>
        <v/>
      </c>
      <c r="X18" s="43" t="str">
        <f t="shared" si="7"/>
        <v/>
      </c>
      <c r="Y18" s="43" t="str">
        <f t="shared" si="7"/>
        <v/>
      </c>
      <c r="Z18" s="43" t="str">
        <f t="shared" si="7"/>
        <v/>
      </c>
      <c r="AA18" s="43" t="str">
        <f t="shared" si="7"/>
        <v/>
      </c>
      <c r="AB18" s="43" t="str">
        <f t="shared" si="7"/>
        <v/>
      </c>
      <c r="AC18" s="43" t="str">
        <f t="shared" si="7"/>
        <v/>
      </c>
      <c r="AD18" s="43" t="str">
        <f t="shared" si="7"/>
        <v/>
      </c>
      <c r="AE18" s="43" t="str">
        <f t="shared" si="7"/>
        <v/>
      </c>
      <c r="AF18" s="43" t="str">
        <f t="shared" si="7"/>
        <v/>
      </c>
      <c r="AG18" s="43" t="str">
        <f t="shared" si="7"/>
        <v/>
      </c>
      <c r="AH18" s="43" t="str">
        <f t="shared" si="7"/>
        <v/>
      </c>
      <c r="AI18" s="43" t="str">
        <f t="shared" si="7"/>
        <v/>
      </c>
      <c r="AJ18" s="43" t="str">
        <f t="shared" si="7"/>
        <v/>
      </c>
      <c r="AK18" s="43" t="str">
        <f t="shared" si="7"/>
        <v/>
      </c>
      <c r="AL18" s="43" t="str">
        <f t="shared" si="7"/>
        <v/>
      </c>
    </row>
    <row r="19" spans="1:38" x14ac:dyDescent="0.2">
      <c r="A19" s="59" t="s">
        <v>377</v>
      </c>
      <c r="B19" s="60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</row>
    <row r="20" spans="1:38" x14ac:dyDescent="0.2">
      <c r="A20" s="40" t="s">
        <v>211</v>
      </c>
      <c r="B20" s="4">
        <f>SUM(C3:N3)</f>
        <v>58756.629242130621</v>
      </c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</row>
    <row r="21" spans="1:38" x14ac:dyDescent="0.2">
      <c r="A21" s="40" t="s">
        <v>212</v>
      </c>
      <c r="B21" s="4">
        <f>SUM(C4:N4)+SUM(C5:N5)+SUM(C6:N6)</f>
        <v>207753.95592851384</v>
      </c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</row>
    <row r="22" spans="1:38" x14ac:dyDescent="0.2">
      <c r="A22" s="40" t="s">
        <v>213</v>
      </c>
      <c r="B22" s="4">
        <f>N11</f>
        <v>-35997.32668638321</v>
      </c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</row>
    <row r="23" spans="1:38" x14ac:dyDescent="0.2">
      <c r="A23" s="40" t="s">
        <v>214</v>
      </c>
      <c r="B23" s="4">
        <f>Z11</f>
        <v>182693.45501892627</v>
      </c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</row>
    <row r="24" spans="1:38" x14ac:dyDescent="0.2">
      <c r="A24" s="40" t="s">
        <v>215</v>
      </c>
      <c r="B24" s="4">
        <f>AL11</f>
        <v>1089418.9436634067</v>
      </c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</row>
    <row r="25" spans="1:38" x14ac:dyDescent="0.2">
      <c r="A25" s="40" t="s">
        <v>216</v>
      </c>
      <c r="B25" s="2">
        <f>IFERROR(MATCH("YES",C17:AL17,0),"Never")</f>
        <v>14</v>
      </c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</row>
    <row r="26" spans="1:38" x14ac:dyDescent="0.2">
      <c r="A26" s="40"/>
      <c r="B26" s="2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</row>
    <row r="27" spans="1:38" x14ac:dyDescent="0.2">
      <c r="A27" s="56" t="s">
        <v>217</v>
      </c>
      <c r="B27" s="12"/>
      <c r="C27" s="58">
        <v>0</v>
      </c>
      <c r="D27" s="58">
        <v>0</v>
      </c>
      <c r="E27" s="58">
        <v>0</v>
      </c>
      <c r="F27" s="58">
        <v>0</v>
      </c>
      <c r="G27" s="58">
        <v>0</v>
      </c>
      <c r="H27" s="58">
        <v>0</v>
      </c>
      <c r="I27" s="58">
        <v>0</v>
      </c>
      <c r="J27" s="58">
        <v>0</v>
      </c>
      <c r="K27" s="58">
        <v>0</v>
      </c>
      <c r="L27" s="58">
        <v>0</v>
      </c>
      <c r="M27" s="58">
        <v>0</v>
      </c>
      <c r="N27" s="58">
        <v>0</v>
      </c>
      <c r="O27" s="58">
        <v>0</v>
      </c>
      <c r="P27" s="58">
        <v>0</v>
      </c>
      <c r="Q27" s="58">
        <v>0</v>
      </c>
      <c r="R27" s="58">
        <v>0</v>
      </c>
      <c r="S27" s="58">
        <v>0</v>
      </c>
      <c r="T27" s="58">
        <v>0</v>
      </c>
      <c r="U27" s="58">
        <v>0</v>
      </c>
      <c r="V27" s="58">
        <v>0</v>
      </c>
      <c r="W27" s="58">
        <v>0</v>
      </c>
      <c r="X27" s="58">
        <v>0</v>
      </c>
      <c r="Y27" s="58">
        <v>0</v>
      </c>
      <c r="Z27" s="58">
        <v>0</v>
      </c>
      <c r="AA27" s="58">
        <v>0</v>
      </c>
      <c r="AB27" s="58">
        <v>0</v>
      </c>
      <c r="AC27" s="58">
        <v>0</v>
      </c>
      <c r="AD27" s="58">
        <v>0</v>
      </c>
      <c r="AE27" s="58">
        <v>0</v>
      </c>
      <c r="AF27" s="58">
        <v>0</v>
      </c>
      <c r="AG27" s="58">
        <v>0</v>
      </c>
      <c r="AH27" s="58">
        <v>0</v>
      </c>
      <c r="AI27" s="58">
        <v>0</v>
      </c>
      <c r="AJ27" s="58">
        <v>0</v>
      </c>
      <c r="AK27" s="58">
        <v>0</v>
      </c>
      <c r="AL27" s="58">
        <v>0</v>
      </c>
    </row>
  </sheetData>
  <conditionalFormatting sqref="C11:AL11">
    <cfRule type="expression" dxfId="11" priority="1">
      <formula>C11&lt;0</formula>
    </cfRule>
  </conditionalFormatting>
  <conditionalFormatting sqref="C17:AL17">
    <cfRule type="expression" dxfId="10" priority="2">
      <formula>C17="YES"</formula>
    </cfRule>
  </conditionalFormatting>
  <conditionalFormatting sqref="C18:AL18">
    <cfRule type="expression" dxfId="9" priority="3">
      <formula>C18="DEPLETED"</formula>
    </cfRule>
  </conditionalFormatting>
  <conditionalFormatting sqref="C11:AL11">
    <cfRule type="expression" dxfId="8" priority="4">
      <formula>C11&lt;0</formula>
    </cfRule>
  </conditionalFormatting>
  <conditionalFormatting sqref="C17:AL17">
    <cfRule type="expression" dxfId="7" priority="5">
      <formula>C17="YES"</formula>
    </cfRule>
  </conditionalFormatting>
  <conditionalFormatting sqref="C18:AL18">
    <cfRule type="expression" dxfId="6" priority="6">
      <formula>C18="DEPLETED"</formula>
    </cfRule>
  </conditionalFormatting>
  <conditionalFormatting sqref="C15:AL15">
    <cfRule type="expression" dxfId="5" priority="7">
      <formula>AND(ISNUMBER(C15),C15&gt;12)</formula>
    </cfRule>
  </conditionalFormatting>
  <conditionalFormatting sqref="C15:AL15">
    <cfRule type="expression" dxfId="4" priority="8">
      <formula>AND(ISNUMBER(C15),C15&gt;=6,C15&lt;=12)</formula>
    </cfRule>
  </conditionalFormatting>
  <conditionalFormatting sqref="C15:AL15">
    <cfRule type="expression" dxfId="3" priority="9">
      <formula>AND(ISNUMBER(C15),C15&lt;6)</formula>
    </cfRule>
  </conditionalFormatting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8C5EB-2A69-134B-ADCC-B5526403E15A}">
  <dimension ref="A1:D48"/>
  <sheetViews>
    <sheetView showGridLines="0" topLeftCell="A21" workbookViewId="0">
      <selection activeCell="A25" sqref="A25"/>
    </sheetView>
  </sheetViews>
  <sheetFormatPr baseColWidth="10" defaultRowHeight="16" x14ac:dyDescent="0.2"/>
  <cols>
    <col min="1" max="1" width="41.6640625" customWidth="1"/>
    <col min="2" max="4" width="23.33203125" customWidth="1"/>
  </cols>
  <sheetData>
    <row r="1" spans="1:4" ht="19" x14ac:dyDescent="0.25">
      <c r="A1" s="19" t="s">
        <v>218</v>
      </c>
      <c r="B1" s="128" t="s">
        <v>219</v>
      </c>
      <c r="C1" s="129" t="s">
        <v>220</v>
      </c>
      <c r="D1" s="130" t="s">
        <v>221</v>
      </c>
    </row>
    <row r="2" spans="1:4" x14ac:dyDescent="0.2">
      <c r="A2" s="152" t="s">
        <v>397</v>
      </c>
      <c r="B2" s="152"/>
      <c r="C2" s="152"/>
      <c r="D2" s="152"/>
    </row>
    <row r="3" spans="1:4" x14ac:dyDescent="0.2">
      <c r="A3" s="2" t="s">
        <v>222</v>
      </c>
      <c r="B3" s="131">
        <f>Assumptions!B88</f>
        <v>0.5</v>
      </c>
      <c r="C3" s="138">
        <f>Assumptions!B89</f>
        <v>1</v>
      </c>
      <c r="D3" s="145">
        <f>Assumptions!B90</f>
        <v>2</v>
      </c>
    </row>
    <row r="4" spans="1:4" x14ac:dyDescent="0.2">
      <c r="A4" s="2" t="s">
        <v>223</v>
      </c>
      <c r="B4" s="131">
        <f>Assumptions!B91</f>
        <v>1.5</v>
      </c>
      <c r="C4" s="138">
        <f>Assumptions!B92</f>
        <v>1</v>
      </c>
      <c r="D4" s="145">
        <f>Assumptions!B93</f>
        <v>0.6</v>
      </c>
    </row>
    <row r="5" spans="1:4" x14ac:dyDescent="0.2">
      <c r="A5" s="152" t="s">
        <v>398</v>
      </c>
      <c r="B5" s="152"/>
      <c r="C5" s="152"/>
      <c r="D5" s="152"/>
    </row>
    <row r="6" spans="1:4" x14ac:dyDescent="0.2">
      <c r="A6" s="13" t="s">
        <v>224</v>
      </c>
      <c r="B6" s="132"/>
      <c r="C6" s="139"/>
      <c r="D6" s="146"/>
    </row>
    <row r="7" spans="1:4" x14ac:dyDescent="0.2">
      <c r="A7" s="13" t="s">
        <v>225</v>
      </c>
      <c r="B7" s="132"/>
      <c r="C7" s="139"/>
      <c r="D7" s="146"/>
    </row>
    <row r="8" spans="1:4" x14ac:dyDescent="0.2">
      <c r="A8" s="152" t="s">
        <v>399</v>
      </c>
      <c r="B8" s="152"/>
      <c r="C8" s="152"/>
      <c r="D8" s="152"/>
    </row>
    <row r="9" spans="1:4" x14ac:dyDescent="0.2">
      <c r="A9" s="2" t="s">
        <v>109</v>
      </c>
      <c r="B9" s="133">
        <f>Revenue!N23</f>
        <v>416.78653414940959</v>
      </c>
      <c r="C9" s="140">
        <f>Revenue!N23</f>
        <v>416.78653414940959</v>
      </c>
      <c r="D9" s="147">
        <f>Revenue!N23</f>
        <v>416.78653414940959</v>
      </c>
    </row>
    <row r="10" spans="1:4" x14ac:dyDescent="0.2">
      <c r="A10" s="2" t="s">
        <v>110</v>
      </c>
      <c r="B10" s="133">
        <f>Revenue!Z23</f>
        <v>2214.871835773858</v>
      </c>
      <c r="C10" s="140">
        <f>Revenue!Z23</f>
        <v>2214.871835773858</v>
      </c>
      <c r="D10" s="147">
        <f>Revenue!Z23</f>
        <v>2214.871835773858</v>
      </c>
    </row>
    <row r="11" spans="1:4" x14ac:dyDescent="0.2">
      <c r="A11" s="2" t="s">
        <v>111</v>
      </c>
      <c r="B11" s="133">
        <f>Revenue!AL23</f>
        <v>5427.0143362700537</v>
      </c>
      <c r="C11" s="140">
        <f>Revenue!AL23</f>
        <v>5427.0143362700537</v>
      </c>
      <c r="D11" s="147">
        <f>Revenue!AL23</f>
        <v>5427.0143362700537</v>
      </c>
    </row>
    <row r="12" spans="1:4" x14ac:dyDescent="0.2">
      <c r="A12" s="2" t="s">
        <v>226</v>
      </c>
      <c r="B12" s="133">
        <f>Revenue!N30</f>
        <v>353.78653414940959</v>
      </c>
      <c r="C12" s="140">
        <f>Revenue!N30</f>
        <v>353.78653414940959</v>
      </c>
      <c r="D12" s="147">
        <f>Revenue!N30</f>
        <v>353.78653414940959</v>
      </c>
    </row>
    <row r="13" spans="1:4" x14ac:dyDescent="0.2">
      <c r="A13" s="2" t="s">
        <v>227</v>
      </c>
      <c r="B13" s="133">
        <f>Revenue!AL30</f>
        <v>5156.0143362700537</v>
      </c>
      <c r="C13" s="140">
        <f>Revenue!AL30</f>
        <v>5156.0143362700537</v>
      </c>
      <c r="D13" s="147">
        <f>Revenue!AL30</f>
        <v>5156.0143362700537</v>
      </c>
    </row>
    <row r="14" spans="1:4" x14ac:dyDescent="0.2">
      <c r="A14" s="152" t="s">
        <v>374</v>
      </c>
      <c r="B14" s="152"/>
      <c r="C14" s="152"/>
      <c r="D14" s="152"/>
    </row>
    <row r="15" spans="1:4" x14ac:dyDescent="0.2">
      <c r="A15" s="2" t="s">
        <v>106</v>
      </c>
      <c r="B15" s="133">
        <f>Revenue!B50</f>
        <v>60573.84457951611</v>
      </c>
      <c r="C15" s="140">
        <f>Revenue!B50</f>
        <v>60573.84457951611</v>
      </c>
      <c r="D15" s="147">
        <f>Revenue!B50</f>
        <v>60573.84457951611</v>
      </c>
    </row>
    <row r="16" spans="1:4" x14ac:dyDescent="0.2">
      <c r="A16" s="2" t="s">
        <v>107</v>
      </c>
      <c r="B16" s="133">
        <f>Revenue!B51</f>
        <v>596336.01507994137</v>
      </c>
      <c r="C16" s="140">
        <f>Revenue!B51</f>
        <v>596336.01507994137</v>
      </c>
      <c r="D16" s="147">
        <f>Revenue!B51</f>
        <v>596336.01507994137</v>
      </c>
    </row>
    <row r="17" spans="1:4" x14ac:dyDescent="0.2">
      <c r="A17" s="2" t="s">
        <v>108</v>
      </c>
      <c r="B17" s="133">
        <f>Revenue!B52</f>
        <v>1623096.221676738</v>
      </c>
      <c r="C17" s="140">
        <f>Revenue!B52</f>
        <v>1623096.221676738</v>
      </c>
      <c r="D17" s="147">
        <f>Revenue!B52</f>
        <v>1623096.221676738</v>
      </c>
    </row>
    <row r="18" spans="1:4" x14ac:dyDescent="0.2">
      <c r="A18" s="2" t="s">
        <v>228</v>
      </c>
      <c r="B18" s="133">
        <f>Revenue!AL47</f>
        <v>193475.21952655469</v>
      </c>
      <c r="C18" s="140">
        <f>Revenue!AL47</f>
        <v>193475.21952655469</v>
      </c>
      <c r="D18" s="147">
        <f>Revenue!AL47</f>
        <v>193475.21952655469</v>
      </c>
    </row>
    <row r="19" spans="1:4" x14ac:dyDescent="0.2">
      <c r="A19" s="2" t="s">
        <v>112</v>
      </c>
      <c r="B19" s="133">
        <f>Revenue!AL48</f>
        <v>2321702.6343186563</v>
      </c>
      <c r="C19" s="140">
        <f>Revenue!AL48</f>
        <v>2321702.6343186563</v>
      </c>
      <c r="D19" s="147">
        <f>Revenue!AL48</f>
        <v>2321702.6343186563</v>
      </c>
    </row>
    <row r="20" spans="1:4" x14ac:dyDescent="0.2">
      <c r="A20" s="152" t="s">
        <v>400</v>
      </c>
      <c r="B20" s="152"/>
      <c r="C20" s="152"/>
      <c r="D20" s="152"/>
    </row>
    <row r="21" spans="1:4" x14ac:dyDescent="0.2">
      <c r="A21" s="2" t="s">
        <v>145</v>
      </c>
      <c r="B21" s="133">
        <f>Costs!B65</f>
        <v>203351.28528224872</v>
      </c>
      <c r="C21" s="140">
        <f>Costs!B65</f>
        <v>203351.28528224872</v>
      </c>
      <c r="D21" s="147">
        <f>Costs!B65</f>
        <v>203351.28528224872</v>
      </c>
    </row>
    <row r="22" spans="1:4" x14ac:dyDescent="0.2">
      <c r="A22" s="2" t="s">
        <v>146</v>
      </c>
      <c r="B22" s="133">
        <f>Costs!B66</f>
        <v>291429.94745376142</v>
      </c>
      <c r="C22" s="140">
        <f>Costs!B66</f>
        <v>291429.94745376142</v>
      </c>
      <c r="D22" s="147">
        <f>Costs!B66</f>
        <v>291429.94745376142</v>
      </c>
    </row>
    <row r="23" spans="1:4" x14ac:dyDescent="0.2">
      <c r="A23" s="2" t="s">
        <v>147</v>
      </c>
      <c r="B23" s="133">
        <f>Costs!B67</f>
        <v>382114.37415705872</v>
      </c>
      <c r="C23" s="140">
        <f>Costs!B67</f>
        <v>382114.37415705872</v>
      </c>
      <c r="D23" s="147">
        <f>Costs!B67</f>
        <v>382114.37415705872</v>
      </c>
    </row>
    <row r="24" spans="1:4" x14ac:dyDescent="0.2">
      <c r="A24" s="152" t="s">
        <v>401</v>
      </c>
      <c r="B24" s="152"/>
      <c r="C24" s="152"/>
      <c r="D24" s="152"/>
    </row>
    <row r="25" spans="1:4" x14ac:dyDescent="0.2">
      <c r="A25" s="2" t="s">
        <v>229</v>
      </c>
      <c r="B25" s="133">
        <f>Assumptions!B8</f>
        <v>113000</v>
      </c>
      <c r="C25" s="140">
        <f>Assumptions!B8</f>
        <v>113000</v>
      </c>
      <c r="D25" s="147">
        <f>Assumptions!B8</f>
        <v>113000</v>
      </c>
    </row>
    <row r="26" spans="1:4" x14ac:dyDescent="0.2">
      <c r="A26" s="2" t="s">
        <v>230</v>
      </c>
      <c r="B26" s="133">
        <f>'Cash Flow'!N11</f>
        <v>-35997.32668638321</v>
      </c>
      <c r="C26" s="140">
        <f>'Cash Flow'!N11</f>
        <v>-35997.32668638321</v>
      </c>
      <c r="D26" s="147">
        <f>'Cash Flow'!N11</f>
        <v>-35997.32668638321</v>
      </c>
    </row>
    <row r="27" spans="1:4" x14ac:dyDescent="0.2">
      <c r="A27" s="2" t="s">
        <v>231</v>
      </c>
      <c r="B27" s="133">
        <f>'Cash Flow'!Z11</f>
        <v>182693.45501892627</v>
      </c>
      <c r="C27" s="140">
        <f>'Cash Flow'!Z11</f>
        <v>182693.45501892627</v>
      </c>
      <c r="D27" s="147">
        <f>'Cash Flow'!Z11</f>
        <v>182693.45501892627</v>
      </c>
    </row>
    <row r="28" spans="1:4" x14ac:dyDescent="0.2">
      <c r="A28" s="2" t="s">
        <v>232</v>
      </c>
      <c r="B28" s="133">
        <f>'Cash Flow'!AL11</f>
        <v>1089418.9436634067</v>
      </c>
      <c r="C28" s="140">
        <f>'Cash Flow'!AL11</f>
        <v>1089418.9436634067</v>
      </c>
      <c r="D28" s="147">
        <f>'Cash Flow'!AL11</f>
        <v>1089418.9436634067</v>
      </c>
    </row>
    <row r="29" spans="1:4" x14ac:dyDescent="0.2">
      <c r="A29" s="2" t="s">
        <v>216</v>
      </c>
      <c r="B29" s="132">
        <f>'Cash Flow'!B25</f>
        <v>14</v>
      </c>
      <c r="C29" s="139">
        <f>'Cash Flow'!B25</f>
        <v>14</v>
      </c>
      <c r="D29" s="146">
        <f>'Cash Flow'!B25</f>
        <v>14</v>
      </c>
    </row>
    <row r="30" spans="1:4" x14ac:dyDescent="0.2">
      <c r="A30" s="2" t="s">
        <v>233</v>
      </c>
      <c r="B30" s="134">
        <f>'Cash Flow'!N15</f>
        <v>-4.3333080045196448</v>
      </c>
      <c r="C30" s="141">
        <f>'Cash Flow'!N15</f>
        <v>-4.3333080045196448</v>
      </c>
      <c r="D30" s="148">
        <f>'Cash Flow'!N15</f>
        <v>-4.3333080045196448</v>
      </c>
    </row>
    <row r="31" spans="1:4" x14ac:dyDescent="0.2">
      <c r="A31" s="152" t="s">
        <v>402</v>
      </c>
      <c r="B31" s="152"/>
      <c r="C31" s="152"/>
      <c r="D31" s="152"/>
    </row>
    <row r="32" spans="1:4" x14ac:dyDescent="0.2">
      <c r="A32" s="2" t="s">
        <v>155</v>
      </c>
      <c r="B32" s="135">
        <f>'Unit Economics'!AL11</f>
        <v>0.91722796353467129</v>
      </c>
      <c r="C32" s="142">
        <f>'Unit Economics'!AL11</f>
        <v>0.91722796353467129</v>
      </c>
      <c r="D32" s="149">
        <f>'Unit Economics'!AL11</f>
        <v>0.91722796353467129</v>
      </c>
    </row>
    <row r="33" spans="1:4" x14ac:dyDescent="0.2">
      <c r="A33" s="2" t="s">
        <v>234</v>
      </c>
      <c r="B33" s="136">
        <f>'Unit Economics'!AL20</f>
        <v>38.684723546933668</v>
      </c>
      <c r="C33" s="143">
        <f>'Unit Economics'!AL20</f>
        <v>38.684723546933668</v>
      </c>
      <c r="D33" s="150">
        <f>'Unit Economics'!AL20</f>
        <v>38.684723546933668</v>
      </c>
    </row>
    <row r="34" spans="1:4" x14ac:dyDescent="0.2">
      <c r="A34" s="2" t="s">
        <v>235</v>
      </c>
      <c r="B34" s="133">
        <f>'Unit Economics'!AL22</f>
        <v>773.69447093867336</v>
      </c>
      <c r="C34" s="140">
        <f>'Unit Economics'!AL22</f>
        <v>773.69447093867336</v>
      </c>
      <c r="D34" s="147">
        <f>'Unit Economics'!AL22</f>
        <v>773.69447093867336</v>
      </c>
    </row>
    <row r="35" spans="1:4" x14ac:dyDescent="0.2">
      <c r="A35" s="2" t="s">
        <v>236</v>
      </c>
      <c r="B35" s="133">
        <f>'Unit Economics'!AL18</f>
        <v>0</v>
      </c>
      <c r="C35" s="140">
        <f>'Unit Economics'!AL18</f>
        <v>0</v>
      </c>
      <c r="D35" s="147">
        <f>'Unit Economics'!AL18</f>
        <v>0</v>
      </c>
    </row>
    <row r="36" spans="1:4" x14ac:dyDescent="0.2">
      <c r="A36" s="2" t="s">
        <v>237</v>
      </c>
      <c r="B36" s="137">
        <f>'Unit Economics'!AL23</f>
        <v>0</v>
      </c>
      <c r="C36" s="144">
        <f>'Unit Economics'!AL23</f>
        <v>0</v>
      </c>
      <c r="D36" s="151">
        <f>'Unit Economics'!AL23</f>
        <v>0</v>
      </c>
    </row>
    <row r="37" spans="1:4" x14ac:dyDescent="0.2">
      <c r="A37" s="2"/>
      <c r="B37" s="2"/>
      <c r="C37" s="2"/>
      <c r="D37" s="2"/>
    </row>
    <row r="38" spans="1:4" x14ac:dyDescent="0.2">
      <c r="A38" s="14" t="s">
        <v>238</v>
      </c>
      <c r="B38" s="2"/>
      <c r="C38" s="2"/>
      <c r="D38" s="2"/>
    </row>
    <row r="39" spans="1:4" x14ac:dyDescent="0.2">
      <c r="A39" s="2"/>
      <c r="B39" s="10" t="s">
        <v>219</v>
      </c>
      <c r="C39" s="10" t="s">
        <v>220</v>
      </c>
      <c r="D39" s="10" t="s">
        <v>221</v>
      </c>
    </row>
    <row r="40" spans="1:4" x14ac:dyDescent="0.2">
      <c r="A40" s="2" t="s">
        <v>239</v>
      </c>
      <c r="B40" s="4">
        <f>B15</f>
        <v>60573.84457951611</v>
      </c>
      <c r="C40" s="4">
        <f>C15</f>
        <v>60573.84457951611</v>
      </c>
      <c r="D40" s="4">
        <f>D15</f>
        <v>60573.84457951611</v>
      </c>
    </row>
    <row r="41" spans="1:4" x14ac:dyDescent="0.2">
      <c r="A41" s="2" t="s">
        <v>240</v>
      </c>
      <c r="B41" s="4">
        <f>B16</f>
        <v>596336.01507994137</v>
      </c>
      <c r="C41" s="4">
        <f>C16</f>
        <v>596336.01507994137</v>
      </c>
      <c r="D41" s="4">
        <f>D16</f>
        <v>596336.01507994137</v>
      </c>
    </row>
    <row r="42" spans="1:4" x14ac:dyDescent="0.2">
      <c r="A42" s="2" t="s">
        <v>241</v>
      </c>
      <c r="B42" s="4">
        <f>B17</f>
        <v>1623096.221676738</v>
      </c>
      <c r="C42" s="4">
        <f>C17</f>
        <v>1623096.221676738</v>
      </c>
      <c r="D42" s="4">
        <f>D17</f>
        <v>1623096.221676738</v>
      </c>
    </row>
    <row r="43" spans="1:4" x14ac:dyDescent="0.2">
      <c r="A43" s="2"/>
      <c r="B43" s="2"/>
      <c r="C43" s="2"/>
      <c r="D43" s="2"/>
    </row>
    <row r="44" spans="1:4" x14ac:dyDescent="0.2">
      <c r="A44" s="14" t="s">
        <v>242</v>
      </c>
      <c r="B44" s="2"/>
      <c r="C44" s="2"/>
      <c r="D44" s="2"/>
    </row>
    <row r="45" spans="1:4" x14ac:dyDescent="0.2">
      <c r="A45" s="2"/>
      <c r="B45" s="10" t="s">
        <v>219</v>
      </c>
      <c r="C45" s="10" t="s">
        <v>220</v>
      </c>
      <c r="D45" s="10" t="s">
        <v>221</v>
      </c>
    </row>
    <row r="46" spans="1:4" x14ac:dyDescent="0.2">
      <c r="A46" s="2" t="s">
        <v>230</v>
      </c>
      <c r="B46" s="4">
        <f>B26</f>
        <v>-35997.32668638321</v>
      </c>
      <c r="C46" s="4">
        <f>C26</f>
        <v>-35997.32668638321</v>
      </c>
      <c r="D46" s="4">
        <f>D26</f>
        <v>-35997.32668638321</v>
      </c>
    </row>
    <row r="47" spans="1:4" x14ac:dyDescent="0.2">
      <c r="A47" s="2" t="s">
        <v>231</v>
      </c>
      <c r="B47" s="4">
        <f>B27</f>
        <v>182693.45501892627</v>
      </c>
      <c r="C47" s="4">
        <f>C27</f>
        <v>182693.45501892627</v>
      </c>
      <c r="D47" s="4">
        <f>D27</f>
        <v>182693.45501892627</v>
      </c>
    </row>
    <row r="48" spans="1:4" x14ac:dyDescent="0.2">
      <c r="A48" s="2" t="s">
        <v>232</v>
      </c>
      <c r="B48" s="4">
        <f>B28</f>
        <v>1089418.9436634067</v>
      </c>
      <c r="C48" s="4">
        <f>C28</f>
        <v>1089418.9436634067</v>
      </c>
      <c r="D48" s="4">
        <f>D28</f>
        <v>1089418.9436634067</v>
      </c>
    </row>
  </sheetData>
  <conditionalFormatting sqref="B36:D36">
    <cfRule type="expression" dxfId="2" priority="1">
      <formula>B36&gt;3</formula>
    </cfRule>
  </conditionalFormatting>
  <conditionalFormatting sqref="B36:D36">
    <cfRule type="expression" dxfId="1" priority="2">
      <formula>B36&lt;1</formula>
    </cfRule>
  </conditionalFormatting>
  <conditionalFormatting sqref="B26:D28">
    <cfRule type="expression" dxfId="0" priority="3">
      <formula>B26&lt;0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A04F9-0CDF-6846-883B-1B6C83569390}">
  <dimension ref="B2:F41"/>
  <sheetViews>
    <sheetView showGridLines="0" workbookViewId="0">
      <selection activeCell="H17" sqref="H17"/>
    </sheetView>
  </sheetViews>
  <sheetFormatPr baseColWidth="10" defaultRowHeight="16" x14ac:dyDescent="0.2"/>
  <cols>
    <col min="1" max="1" width="3.33203125" customWidth="1"/>
    <col min="2" max="2" width="43.33203125" customWidth="1"/>
    <col min="3" max="6" width="22.5" customWidth="1"/>
  </cols>
  <sheetData>
    <row r="2" spans="2:6" ht="24" x14ac:dyDescent="0.3">
      <c r="B2" s="33" t="s">
        <v>262</v>
      </c>
      <c r="C2" s="1"/>
      <c r="D2" s="1"/>
      <c r="E2" s="1"/>
      <c r="F2" s="1"/>
    </row>
    <row r="3" spans="2:6" x14ac:dyDescent="0.2">
      <c r="B3" s="17" t="s">
        <v>263</v>
      </c>
      <c r="C3" s="1"/>
      <c r="D3" s="1"/>
      <c r="E3" s="1"/>
      <c r="F3" s="1"/>
    </row>
    <row r="4" spans="2:6" x14ac:dyDescent="0.2">
      <c r="B4" s="1"/>
      <c r="C4" s="1"/>
      <c r="D4" s="1"/>
      <c r="E4" s="1"/>
      <c r="F4" s="1"/>
    </row>
    <row r="5" spans="2:6" ht="17" thickBot="1" x14ac:dyDescent="0.25">
      <c r="B5" s="34" t="s">
        <v>264</v>
      </c>
      <c r="C5" s="35" t="s">
        <v>265</v>
      </c>
      <c r="D5" s="36" t="s">
        <v>266</v>
      </c>
      <c r="E5" s="37" t="s">
        <v>267</v>
      </c>
      <c r="F5" s="38" t="s">
        <v>268</v>
      </c>
    </row>
    <row r="6" spans="2:6" ht="25" customHeight="1" x14ac:dyDescent="0.2">
      <c r="B6" s="39" t="s">
        <v>269</v>
      </c>
      <c r="C6" s="171"/>
      <c r="D6" s="171"/>
      <c r="E6" s="171"/>
      <c r="F6" s="172"/>
    </row>
    <row r="7" spans="2:6" ht="22" customHeight="1" x14ac:dyDescent="0.2">
      <c r="B7" s="109" t="s">
        <v>270</v>
      </c>
      <c r="C7" s="153" t="s">
        <v>271</v>
      </c>
      <c r="D7" s="153" t="s">
        <v>271</v>
      </c>
      <c r="E7" s="153" t="s">
        <v>271</v>
      </c>
      <c r="F7" s="154" t="s">
        <v>271</v>
      </c>
    </row>
    <row r="8" spans="2:6" ht="22" customHeight="1" x14ac:dyDescent="0.2">
      <c r="B8" s="155" t="s">
        <v>272</v>
      </c>
      <c r="C8" s="156" t="s">
        <v>273</v>
      </c>
      <c r="D8" s="157" t="s">
        <v>271</v>
      </c>
      <c r="E8" s="157" t="s">
        <v>271</v>
      </c>
      <c r="F8" s="158" t="s">
        <v>271</v>
      </c>
    </row>
    <row r="9" spans="2:6" ht="22" customHeight="1" x14ac:dyDescent="0.2">
      <c r="B9" s="155" t="s">
        <v>274</v>
      </c>
      <c r="C9" s="156" t="s">
        <v>273</v>
      </c>
      <c r="D9" s="157" t="s">
        <v>271</v>
      </c>
      <c r="E9" s="157" t="s">
        <v>271</v>
      </c>
      <c r="F9" s="158" t="s">
        <v>271</v>
      </c>
    </row>
    <row r="10" spans="2:6" ht="22" customHeight="1" x14ac:dyDescent="0.2">
      <c r="B10" s="159" t="s">
        <v>275</v>
      </c>
      <c r="C10" s="160" t="s">
        <v>273</v>
      </c>
      <c r="D10" s="160" t="s">
        <v>273</v>
      </c>
      <c r="E10" s="161" t="s">
        <v>271</v>
      </c>
      <c r="F10" s="162" t="s">
        <v>271</v>
      </c>
    </row>
    <row r="11" spans="2:6" ht="25" customHeight="1" x14ac:dyDescent="0.2">
      <c r="B11" s="163" t="s">
        <v>276</v>
      </c>
      <c r="C11" s="173"/>
      <c r="D11" s="173"/>
      <c r="E11" s="173"/>
      <c r="F11" s="174"/>
    </row>
    <row r="12" spans="2:6" ht="22" customHeight="1" x14ac:dyDescent="0.2">
      <c r="B12" s="109" t="s">
        <v>277</v>
      </c>
      <c r="C12" s="164" t="s">
        <v>278</v>
      </c>
      <c r="D12" s="164" t="s">
        <v>279</v>
      </c>
      <c r="E12" s="153" t="s">
        <v>280</v>
      </c>
      <c r="F12" s="154" t="s">
        <v>280</v>
      </c>
    </row>
    <row r="13" spans="2:6" ht="22" customHeight="1" x14ac:dyDescent="0.2">
      <c r="B13" s="155" t="s">
        <v>281</v>
      </c>
      <c r="C13" s="156" t="s">
        <v>273</v>
      </c>
      <c r="D13" s="157" t="s">
        <v>271</v>
      </c>
      <c r="E13" s="157" t="s">
        <v>271</v>
      </c>
      <c r="F13" s="158" t="s">
        <v>271</v>
      </c>
    </row>
    <row r="14" spans="2:6" ht="22" customHeight="1" x14ac:dyDescent="0.2">
      <c r="B14" s="155" t="s">
        <v>282</v>
      </c>
      <c r="C14" s="156" t="s">
        <v>273</v>
      </c>
      <c r="D14" s="156" t="s">
        <v>273</v>
      </c>
      <c r="E14" s="157" t="s">
        <v>271</v>
      </c>
      <c r="F14" s="158" t="s">
        <v>271</v>
      </c>
    </row>
    <row r="15" spans="2:6" ht="22" customHeight="1" x14ac:dyDescent="0.2">
      <c r="B15" s="159" t="s">
        <v>283</v>
      </c>
      <c r="C15" s="160" t="s">
        <v>273</v>
      </c>
      <c r="D15" s="160" t="s">
        <v>273</v>
      </c>
      <c r="E15" s="161" t="s">
        <v>271</v>
      </c>
      <c r="F15" s="162" t="s">
        <v>271</v>
      </c>
    </row>
    <row r="16" spans="2:6" ht="25" customHeight="1" x14ac:dyDescent="0.2">
      <c r="B16" s="163" t="s">
        <v>284</v>
      </c>
      <c r="C16" s="173"/>
      <c r="D16" s="173"/>
      <c r="E16" s="173"/>
      <c r="F16" s="174"/>
    </row>
    <row r="17" spans="2:6" ht="22" customHeight="1" x14ac:dyDescent="0.2">
      <c r="B17" s="109" t="s">
        <v>285</v>
      </c>
      <c r="C17" s="165" t="s">
        <v>273</v>
      </c>
      <c r="D17" s="165" t="s">
        <v>273</v>
      </c>
      <c r="E17" s="153" t="s">
        <v>271</v>
      </c>
      <c r="F17" s="154" t="s">
        <v>271</v>
      </c>
    </row>
    <row r="18" spans="2:6" ht="22" customHeight="1" x14ac:dyDescent="0.2">
      <c r="B18" s="155" t="s">
        <v>286</v>
      </c>
      <c r="C18" s="156" t="s">
        <v>273</v>
      </c>
      <c r="D18" s="156" t="s">
        <v>273</v>
      </c>
      <c r="E18" s="157" t="s">
        <v>271</v>
      </c>
      <c r="F18" s="158" t="s">
        <v>271</v>
      </c>
    </row>
    <row r="19" spans="2:6" ht="22" customHeight="1" x14ac:dyDescent="0.2">
      <c r="B19" s="159" t="s">
        <v>287</v>
      </c>
      <c r="C19" s="160" t="s">
        <v>273</v>
      </c>
      <c r="D19" s="160" t="s">
        <v>273</v>
      </c>
      <c r="E19" s="161" t="s">
        <v>271</v>
      </c>
      <c r="F19" s="162" t="s">
        <v>271</v>
      </c>
    </row>
    <row r="20" spans="2:6" ht="25" customHeight="1" x14ac:dyDescent="0.2">
      <c r="B20" s="163" t="s">
        <v>288</v>
      </c>
      <c r="C20" s="173"/>
      <c r="D20" s="173"/>
      <c r="E20" s="173"/>
      <c r="F20" s="174"/>
    </row>
    <row r="21" spans="2:6" ht="22" customHeight="1" x14ac:dyDescent="0.2">
      <c r="B21" s="109" t="s">
        <v>289</v>
      </c>
      <c r="C21" s="165" t="s">
        <v>273</v>
      </c>
      <c r="D21" s="165" t="s">
        <v>273</v>
      </c>
      <c r="E21" s="165" t="s">
        <v>273</v>
      </c>
      <c r="F21" s="154" t="s">
        <v>271</v>
      </c>
    </row>
    <row r="22" spans="2:6" ht="22" customHeight="1" x14ac:dyDescent="0.2">
      <c r="B22" s="155" t="s">
        <v>290</v>
      </c>
      <c r="C22" s="156" t="s">
        <v>273</v>
      </c>
      <c r="D22" s="156" t="s">
        <v>273</v>
      </c>
      <c r="E22" s="156" t="s">
        <v>273</v>
      </c>
      <c r="F22" s="158" t="s">
        <v>271</v>
      </c>
    </row>
    <row r="23" spans="2:6" ht="22" customHeight="1" x14ac:dyDescent="0.2">
      <c r="B23" s="159" t="s">
        <v>291</v>
      </c>
      <c r="C23" s="160" t="s">
        <v>273</v>
      </c>
      <c r="D23" s="160" t="s">
        <v>273</v>
      </c>
      <c r="E23" s="160" t="s">
        <v>273</v>
      </c>
      <c r="F23" s="162" t="s">
        <v>271</v>
      </c>
    </row>
    <row r="24" spans="2:6" ht="25" customHeight="1" x14ac:dyDescent="0.2">
      <c r="B24" s="163" t="s">
        <v>292</v>
      </c>
      <c r="C24" s="173"/>
      <c r="D24" s="173"/>
      <c r="E24" s="173"/>
      <c r="F24" s="174"/>
    </row>
    <row r="25" spans="2:6" ht="22" customHeight="1" x14ac:dyDescent="0.2">
      <c r="B25" s="109" t="s">
        <v>293</v>
      </c>
      <c r="C25" s="164">
        <v>20</v>
      </c>
      <c r="D25" s="164">
        <v>150</v>
      </c>
      <c r="E25" s="164">
        <v>500</v>
      </c>
      <c r="F25" s="154" t="s">
        <v>280</v>
      </c>
    </row>
    <row r="26" spans="2:6" ht="22" customHeight="1" thickBot="1" x14ac:dyDescent="0.25">
      <c r="B26" s="166" t="s">
        <v>294</v>
      </c>
      <c r="C26" s="167" t="s">
        <v>273</v>
      </c>
      <c r="D26" s="167" t="s">
        <v>273</v>
      </c>
      <c r="E26" s="167" t="s">
        <v>273</v>
      </c>
      <c r="F26" s="168" t="s">
        <v>271</v>
      </c>
    </row>
    <row r="27" spans="2:6" x14ac:dyDescent="0.2">
      <c r="B27" s="1"/>
      <c r="C27" s="1"/>
      <c r="D27" s="1"/>
      <c r="E27" s="1"/>
      <c r="F27" s="1"/>
    </row>
    <row r="28" spans="2:6" x14ac:dyDescent="0.2">
      <c r="B28" s="31" t="s">
        <v>295</v>
      </c>
      <c r="C28" s="1"/>
      <c r="D28" s="1"/>
      <c r="E28" s="1"/>
      <c r="F28" s="1"/>
    </row>
    <row r="29" spans="2:6" x14ac:dyDescent="0.2">
      <c r="B29" s="169" t="s">
        <v>296</v>
      </c>
      <c r="C29" s="1"/>
      <c r="D29" s="1"/>
      <c r="E29" s="1"/>
      <c r="F29" s="1"/>
    </row>
    <row r="30" spans="2:6" x14ac:dyDescent="0.2">
      <c r="B30" s="169" t="s">
        <v>297</v>
      </c>
      <c r="C30" s="1"/>
      <c r="D30" s="1"/>
      <c r="E30" s="1"/>
      <c r="F30" s="1"/>
    </row>
    <row r="31" spans="2:6" x14ac:dyDescent="0.2">
      <c r="B31" s="169" t="s">
        <v>298</v>
      </c>
      <c r="C31" s="1"/>
      <c r="D31" s="1"/>
      <c r="E31" s="1"/>
      <c r="F31" s="1"/>
    </row>
    <row r="32" spans="2:6" x14ac:dyDescent="0.2">
      <c r="B32" s="2"/>
      <c r="C32" s="1"/>
      <c r="D32" s="1"/>
      <c r="E32" s="1"/>
      <c r="F32" s="1"/>
    </row>
    <row r="33" spans="2:6" x14ac:dyDescent="0.2">
      <c r="B33" s="170" t="s">
        <v>299</v>
      </c>
      <c r="C33" s="1"/>
      <c r="D33" s="1"/>
      <c r="E33" s="1"/>
      <c r="F33" s="1"/>
    </row>
    <row r="34" spans="2:6" x14ac:dyDescent="0.2">
      <c r="B34" s="169" t="s">
        <v>300</v>
      </c>
      <c r="C34" s="1"/>
      <c r="D34" s="1"/>
      <c r="E34" s="1"/>
      <c r="F34" s="1"/>
    </row>
    <row r="35" spans="2:6" x14ac:dyDescent="0.2">
      <c r="B35" s="169" t="s">
        <v>301</v>
      </c>
      <c r="C35" s="1"/>
      <c r="D35" s="1"/>
      <c r="E35" s="1"/>
      <c r="F35" s="1"/>
    </row>
    <row r="36" spans="2:6" x14ac:dyDescent="0.2">
      <c r="B36" s="2"/>
      <c r="C36" s="1"/>
      <c r="D36" s="1"/>
      <c r="E36" s="1"/>
      <c r="F36" s="1"/>
    </row>
    <row r="37" spans="2:6" x14ac:dyDescent="0.2">
      <c r="B37" s="170" t="s">
        <v>302</v>
      </c>
      <c r="C37" s="1"/>
      <c r="D37" s="1"/>
      <c r="E37" s="1"/>
      <c r="F37" s="1"/>
    </row>
    <row r="38" spans="2:6" x14ac:dyDescent="0.2">
      <c r="B38" s="169" t="s">
        <v>303</v>
      </c>
      <c r="C38" s="1"/>
      <c r="D38" s="1"/>
      <c r="E38" s="1"/>
      <c r="F38" s="1"/>
    </row>
    <row r="39" spans="2:6" x14ac:dyDescent="0.2">
      <c r="B39" s="169" t="s">
        <v>304</v>
      </c>
      <c r="C39" s="1"/>
      <c r="D39" s="1"/>
      <c r="E39" s="1"/>
      <c r="F39" s="1"/>
    </row>
    <row r="40" spans="2:6" x14ac:dyDescent="0.2">
      <c r="B40" s="169" t="s">
        <v>305</v>
      </c>
      <c r="C40" s="1"/>
      <c r="D40" s="1"/>
      <c r="E40" s="1"/>
      <c r="F40" s="1"/>
    </row>
    <row r="41" spans="2:6" x14ac:dyDescent="0.2">
      <c r="B41" s="169" t="s">
        <v>306</v>
      </c>
      <c r="C41" s="1"/>
      <c r="D41" s="1"/>
      <c r="E41" s="1"/>
      <c r="F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Start Here</vt:lpstr>
      <vt:lpstr>Assumptions</vt:lpstr>
      <vt:lpstr>Revenue</vt:lpstr>
      <vt:lpstr>Costs</vt:lpstr>
      <vt:lpstr>Unit Economics</vt:lpstr>
      <vt:lpstr>P&amp;L</vt:lpstr>
      <vt:lpstr>Cash Flow</vt:lpstr>
      <vt:lpstr>Scenarios</vt:lpstr>
      <vt:lpstr>Pricing</vt:lpstr>
      <vt:lpstr>'Start Here'!Print_Area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Khodara</dc:creator>
  <cp:lastModifiedBy>Philippe Khodara</cp:lastModifiedBy>
  <dcterms:created xsi:type="dcterms:W3CDTF">2026-04-15T10:03:11Z</dcterms:created>
  <dcterms:modified xsi:type="dcterms:W3CDTF">2026-04-17T09:03:14Z</dcterms:modified>
</cp:coreProperties>
</file>